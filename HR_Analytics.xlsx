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24e4f27b5f16fcf6/Documents/"/>
    </mc:Choice>
  </mc:AlternateContent>
  <xr:revisionPtr revIDLastSave="235" documentId="8_{BBB839B3-AE15-4923-8FD3-BBF456188B7E}" xr6:coauthVersionLast="47" xr6:coauthVersionMax="47" xr10:uidLastSave="{DF3B2A18-96BF-4783-97DC-29DBFC8176EE}"/>
  <bookViews>
    <workbookView xWindow="-108" yWindow="-108" windowWidth="23256" windowHeight="13896" activeTab="3" xr2:uid="{EB11B1C9-4729-4C4F-9F38-CA704ECD27E9}"/>
  </bookViews>
  <sheets>
    <sheet name="Data_Set" sheetId="1" r:id="rId1"/>
    <sheet name="KPI Calculations" sheetId="2" r:id="rId2"/>
    <sheet name="Pivot" sheetId="4" r:id="rId3"/>
    <sheet name="DashBoard" sheetId="3" r:id="rId4"/>
  </sheets>
  <definedNames>
    <definedName name="ExternalData_1" localSheetId="0" hidden="1">Data_Set!$A$1:$K$201</definedName>
    <definedName name="Slicer_Attrition">#N/A</definedName>
    <definedName name="Slicer_Department">#N/A</definedName>
    <definedName name="Slicer_Gender">#N/A</definedName>
    <definedName name="Slicer_Years__Hir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 r="A8" i="2"/>
  <c r="A5" i="2"/>
  <c r="B5" i="2"/>
  <c r="B2" i="2"/>
  <c r="A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BEBBCF-1570-47E5-B5FC-C8642ED9F0DA}" keepAlive="1" name="Query - HR_Analytics_Raw_Data_200_Rows" description="Connection to the 'HR_Analytics_Raw_Data_200_Rows' query in the workbook." type="5" refreshedVersion="8" background="1" saveData="1">
    <dbPr connection="Provider=Microsoft.Mashup.OleDb.1;Data Source=$Workbook$;Location=HR_Analytics_Raw_Data_200_Rows;Extended Properties=&quot;&quot;" command="SELECT * FROM [HR_Analytics_Raw_Data_200_Rows]"/>
  </connection>
</connections>
</file>

<file path=xl/sharedStrings.xml><?xml version="1.0" encoding="utf-8"?>
<sst xmlns="http://schemas.openxmlformats.org/spreadsheetml/2006/main" count="1054" uniqueCount="74">
  <si>
    <t>Emp_ID</t>
  </si>
  <si>
    <t>Name</t>
  </si>
  <si>
    <t>Gender</t>
  </si>
  <si>
    <t>Age</t>
  </si>
  <si>
    <t>Department</t>
  </si>
  <si>
    <t>Job_Role</t>
  </si>
  <si>
    <t>Salary</t>
  </si>
  <si>
    <t>Hire_Date</t>
  </si>
  <si>
    <t>Attrition</t>
  </si>
  <si>
    <t>Experience</t>
  </si>
  <si>
    <t>Performance_Rating</t>
  </si>
  <si>
    <t>Sneha</t>
  </si>
  <si>
    <t>Male</t>
  </si>
  <si>
    <t>Marketing</t>
  </si>
  <si>
    <t>SEO Specialist</t>
  </si>
  <si>
    <t>No</t>
  </si>
  <si>
    <t>Arjun</t>
  </si>
  <si>
    <t>Female</t>
  </si>
  <si>
    <t>IT</t>
  </si>
  <si>
    <t>Tester</t>
  </si>
  <si>
    <t>Romeo</t>
  </si>
  <si>
    <t>Sales</t>
  </si>
  <si>
    <t>Sales Manager</t>
  </si>
  <si>
    <t>Suresh</t>
  </si>
  <si>
    <t>HR</t>
  </si>
  <si>
    <t>HR Executive</t>
  </si>
  <si>
    <t>Vikram</t>
  </si>
  <si>
    <t>System Admin</t>
  </si>
  <si>
    <t>Ravi</t>
  </si>
  <si>
    <t>Nikhil</t>
  </si>
  <si>
    <t>Divya</t>
  </si>
  <si>
    <t>Lakshmi</t>
  </si>
  <si>
    <t>Sales Executive</t>
  </si>
  <si>
    <t>Yes</t>
  </si>
  <si>
    <t>Operations</t>
  </si>
  <si>
    <t>Coordinator</t>
  </si>
  <si>
    <t>Swathi</t>
  </si>
  <si>
    <t>Developer</t>
  </si>
  <si>
    <t>Marketing Executive</t>
  </si>
  <si>
    <t>Data Analyst</t>
  </si>
  <si>
    <t>Teja</t>
  </si>
  <si>
    <t>Priya</t>
  </si>
  <si>
    <t>Finance</t>
  </si>
  <si>
    <t>Accountant</t>
  </si>
  <si>
    <t>Anjali</t>
  </si>
  <si>
    <t>Rahul</t>
  </si>
  <si>
    <t>Operations Manager</t>
  </si>
  <si>
    <t>Financial Analyst</t>
  </si>
  <si>
    <t>Kiran</t>
  </si>
  <si>
    <t>Srinu</t>
  </si>
  <si>
    <t>Recruiter</t>
  </si>
  <si>
    <t>Meena</t>
  </si>
  <si>
    <t>Pooja</t>
  </si>
  <si>
    <t>Bhargavi</t>
  </si>
  <si>
    <t>Sai</t>
  </si>
  <si>
    <t>Attrition rate</t>
  </si>
  <si>
    <t>Average salary</t>
  </si>
  <si>
    <t>employee data</t>
  </si>
  <si>
    <t>Average Age</t>
  </si>
  <si>
    <t>Gender count Female</t>
  </si>
  <si>
    <t>Gender Count Male</t>
  </si>
  <si>
    <t>Row Labels</t>
  </si>
  <si>
    <t>Grand Total</t>
  </si>
  <si>
    <t>Sum of Emp_ID</t>
  </si>
  <si>
    <t>Column Labels</t>
  </si>
  <si>
    <t>PIVOT3</t>
  </si>
  <si>
    <t>2018</t>
  </si>
  <si>
    <t>2019</t>
  </si>
  <si>
    <t>2020</t>
  </si>
  <si>
    <t>2021</t>
  </si>
  <si>
    <t>2022</t>
  </si>
  <si>
    <t>2023</t>
  </si>
  <si>
    <t>2024</t>
  </si>
  <si>
    <t>PIVOT4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</si>
</sst>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lgerian"/>
      <family val="5"/>
    </font>
    <font>
      <sz val="11"/>
      <color theme="1"/>
      <name val="Arial Black"/>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2">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Head Count</a:t>
            </a:r>
            <a:endParaRPr lang="en-US"/>
          </a:p>
        </c:rich>
      </c:tx>
      <c:layout>
        <c:manualLayout>
          <c:xMode val="edge"/>
          <c:yMode val="edge"/>
          <c:x val="0.30485411198600171"/>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Pivot!$B$1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BA6-4080-8AA4-5DB0C9A0230F}"/>
              </c:ext>
            </c:extLst>
          </c:dPt>
          <c:dPt>
            <c:idx val="1"/>
            <c:bubble3D val="0"/>
            <c:spPr>
              <a:solidFill>
                <a:schemeClr val="accent2"/>
              </a:solidFill>
              <a:ln>
                <a:noFill/>
              </a:ln>
              <a:effectLst/>
            </c:spPr>
            <c:extLst>
              <c:ext xmlns:c16="http://schemas.microsoft.com/office/drawing/2014/chart" uri="{C3380CC4-5D6E-409C-BE32-E72D297353CC}">
                <c16:uniqueId val="{00000003-1BA6-4080-8AA4-5DB0C9A0230F}"/>
              </c:ext>
            </c:extLst>
          </c:dPt>
          <c:dPt>
            <c:idx val="2"/>
            <c:bubble3D val="0"/>
            <c:spPr>
              <a:solidFill>
                <a:schemeClr val="accent3"/>
              </a:solidFill>
              <a:ln>
                <a:noFill/>
              </a:ln>
              <a:effectLst/>
            </c:spPr>
            <c:extLst>
              <c:ext xmlns:c16="http://schemas.microsoft.com/office/drawing/2014/chart" uri="{C3380CC4-5D6E-409C-BE32-E72D297353CC}">
                <c16:uniqueId val="{00000005-1BA6-4080-8AA4-5DB0C9A0230F}"/>
              </c:ext>
            </c:extLst>
          </c:dPt>
          <c:dPt>
            <c:idx val="3"/>
            <c:bubble3D val="0"/>
            <c:spPr>
              <a:solidFill>
                <a:schemeClr val="accent4"/>
              </a:solidFill>
              <a:ln>
                <a:noFill/>
              </a:ln>
              <a:effectLst/>
            </c:spPr>
            <c:extLst>
              <c:ext xmlns:c16="http://schemas.microsoft.com/office/drawing/2014/chart" uri="{C3380CC4-5D6E-409C-BE32-E72D297353CC}">
                <c16:uniqueId val="{00000007-1BA6-4080-8AA4-5DB0C9A0230F}"/>
              </c:ext>
            </c:extLst>
          </c:dPt>
          <c:dPt>
            <c:idx val="4"/>
            <c:bubble3D val="0"/>
            <c:spPr>
              <a:solidFill>
                <a:schemeClr val="accent5"/>
              </a:solidFill>
              <a:ln>
                <a:noFill/>
              </a:ln>
              <a:effectLst/>
            </c:spPr>
            <c:extLst>
              <c:ext xmlns:c16="http://schemas.microsoft.com/office/drawing/2014/chart" uri="{C3380CC4-5D6E-409C-BE32-E72D297353CC}">
                <c16:uniqueId val="{00000009-1BA6-4080-8AA4-5DB0C9A0230F}"/>
              </c:ext>
            </c:extLst>
          </c:dPt>
          <c:dPt>
            <c:idx val="5"/>
            <c:bubble3D val="0"/>
            <c:spPr>
              <a:solidFill>
                <a:schemeClr val="accent6"/>
              </a:solidFill>
              <a:ln>
                <a:noFill/>
              </a:ln>
              <a:effectLst/>
            </c:spPr>
            <c:extLst>
              <c:ext xmlns:c16="http://schemas.microsoft.com/office/drawing/2014/chart" uri="{C3380CC4-5D6E-409C-BE32-E72D297353CC}">
                <c16:uniqueId val="{0000000B-1BA6-4080-8AA4-5DB0C9A0230F}"/>
              </c:ext>
            </c:extLst>
          </c:dPt>
          <c:cat>
            <c:strRef>
              <c:f>Pivot!$A$2:$A$8</c:f>
              <c:strCache>
                <c:ptCount val="6"/>
                <c:pt idx="0">
                  <c:v>Finance</c:v>
                </c:pt>
                <c:pt idx="1">
                  <c:v>HR</c:v>
                </c:pt>
                <c:pt idx="2">
                  <c:v>IT</c:v>
                </c:pt>
                <c:pt idx="3">
                  <c:v>Marketing</c:v>
                </c:pt>
                <c:pt idx="4">
                  <c:v>Operations</c:v>
                </c:pt>
                <c:pt idx="5">
                  <c:v>Sales</c:v>
                </c:pt>
              </c:strCache>
            </c:strRef>
          </c:cat>
          <c:val>
            <c:numRef>
              <c:f>Pivot!$B$2:$B$8</c:f>
              <c:numCache>
                <c:formatCode>General</c:formatCode>
                <c:ptCount val="6"/>
                <c:pt idx="0">
                  <c:v>33308</c:v>
                </c:pt>
                <c:pt idx="1">
                  <c:v>27394</c:v>
                </c:pt>
                <c:pt idx="2">
                  <c:v>45977</c:v>
                </c:pt>
                <c:pt idx="3">
                  <c:v>23161</c:v>
                </c:pt>
                <c:pt idx="4">
                  <c:v>38871</c:v>
                </c:pt>
                <c:pt idx="5">
                  <c:v>51389</c:v>
                </c:pt>
              </c:numCache>
            </c:numRef>
          </c:val>
          <c:extLst>
            <c:ext xmlns:c16="http://schemas.microsoft.com/office/drawing/2014/chart" uri="{C3380CC4-5D6E-409C-BE32-E72D297353CC}">
              <c16:uniqueId val="{00000000-5529-42BF-885A-B538CCD127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Pivot!$D$1:$D$2</c:f>
              <c:strCache>
                <c:ptCount val="1"/>
                <c:pt idx="0">
                  <c:v>No</c:v>
                </c:pt>
              </c:strCache>
            </c:strRef>
          </c:tx>
          <c:spPr>
            <a:solidFill>
              <a:schemeClr val="accent1"/>
            </a:solidFill>
            <a:ln>
              <a:noFill/>
            </a:ln>
            <a:effectLst/>
          </c:spPr>
          <c:invertIfNegative val="0"/>
          <c:cat>
            <c:strRef>
              <c:f>Pivot!$C$3:$C$9</c:f>
              <c:strCache>
                <c:ptCount val="6"/>
                <c:pt idx="0">
                  <c:v>Finance</c:v>
                </c:pt>
                <c:pt idx="1">
                  <c:v>HR</c:v>
                </c:pt>
                <c:pt idx="2">
                  <c:v>IT</c:v>
                </c:pt>
                <c:pt idx="3">
                  <c:v>Marketing</c:v>
                </c:pt>
                <c:pt idx="4">
                  <c:v>Operations</c:v>
                </c:pt>
                <c:pt idx="5">
                  <c:v>Sales</c:v>
                </c:pt>
              </c:strCache>
            </c:strRef>
          </c:cat>
          <c:val>
            <c:numRef>
              <c:f>Pivot!$D$3:$D$9</c:f>
              <c:numCache>
                <c:formatCode>General</c:formatCode>
                <c:ptCount val="6"/>
                <c:pt idx="0">
                  <c:v>31091</c:v>
                </c:pt>
                <c:pt idx="1">
                  <c:v>21978</c:v>
                </c:pt>
                <c:pt idx="2">
                  <c:v>40578</c:v>
                </c:pt>
                <c:pt idx="3">
                  <c:v>18733</c:v>
                </c:pt>
                <c:pt idx="4">
                  <c:v>34589</c:v>
                </c:pt>
                <c:pt idx="5">
                  <c:v>40743</c:v>
                </c:pt>
              </c:numCache>
            </c:numRef>
          </c:val>
          <c:extLst>
            <c:ext xmlns:c16="http://schemas.microsoft.com/office/drawing/2014/chart" uri="{C3380CC4-5D6E-409C-BE32-E72D297353CC}">
              <c16:uniqueId val="{00000000-5FFB-43C8-BDC2-7006EA6C2DDA}"/>
            </c:ext>
          </c:extLst>
        </c:ser>
        <c:ser>
          <c:idx val="1"/>
          <c:order val="1"/>
          <c:tx>
            <c:strRef>
              <c:f>Pivot!$E$1:$E$2</c:f>
              <c:strCache>
                <c:ptCount val="1"/>
                <c:pt idx="0">
                  <c:v>Yes</c:v>
                </c:pt>
              </c:strCache>
            </c:strRef>
          </c:tx>
          <c:spPr>
            <a:solidFill>
              <a:schemeClr val="accent2"/>
            </a:solidFill>
            <a:ln>
              <a:noFill/>
            </a:ln>
            <a:effectLst/>
          </c:spPr>
          <c:invertIfNegative val="0"/>
          <c:cat>
            <c:strRef>
              <c:f>Pivot!$C$3:$C$9</c:f>
              <c:strCache>
                <c:ptCount val="6"/>
                <c:pt idx="0">
                  <c:v>Finance</c:v>
                </c:pt>
                <c:pt idx="1">
                  <c:v>HR</c:v>
                </c:pt>
                <c:pt idx="2">
                  <c:v>IT</c:v>
                </c:pt>
                <c:pt idx="3">
                  <c:v>Marketing</c:v>
                </c:pt>
                <c:pt idx="4">
                  <c:v>Operations</c:v>
                </c:pt>
                <c:pt idx="5">
                  <c:v>Sales</c:v>
                </c:pt>
              </c:strCache>
            </c:strRef>
          </c:cat>
          <c:val>
            <c:numRef>
              <c:f>Pivot!$E$3:$E$9</c:f>
              <c:numCache>
                <c:formatCode>General</c:formatCode>
                <c:ptCount val="6"/>
                <c:pt idx="0">
                  <c:v>2217</c:v>
                </c:pt>
                <c:pt idx="1">
                  <c:v>5416</c:v>
                </c:pt>
                <c:pt idx="2">
                  <c:v>5399</c:v>
                </c:pt>
                <c:pt idx="3">
                  <c:v>4428</c:v>
                </c:pt>
                <c:pt idx="4">
                  <c:v>4282</c:v>
                </c:pt>
                <c:pt idx="5">
                  <c:v>10646</c:v>
                </c:pt>
              </c:numCache>
            </c:numRef>
          </c:val>
          <c:extLst>
            <c:ext xmlns:c16="http://schemas.microsoft.com/office/drawing/2014/chart" uri="{C3380CC4-5D6E-409C-BE32-E72D297353CC}">
              <c16:uniqueId val="{00000001-510E-4777-8265-E59E826EB9DD}"/>
            </c:ext>
          </c:extLst>
        </c:ser>
        <c:dLbls>
          <c:showLegendKey val="0"/>
          <c:showVal val="0"/>
          <c:showCatName val="0"/>
          <c:showSerName val="0"/>
          <c:showPercent val="0"/>
          <c:showBubbleSize val="0"/>
        </c:dLbls>
        <c:gapWidth val="219"/>
        <c:overlap val="-27"/>
        <c:axId val="324727760"/>
        <c:axId val="324726800"/>
      </c:barChart>
      <c:catAx>
        <c:axId val="324727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726800"/>
        <c:crosses val="autoZero"/>
        <c:auto val="1"/>
        <c:lblAlgn val="ctr"/>
        <c:lblOffset val="100"/>
        <c:noMultiLvlLbl val="0"/>
      </c:catAx>
      <c:valAx>
        <c:axId val="32472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72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a:t>
            </a:r>
            <a:r>
              <a:rPr lang="en-US" baseline="0"/>
              <a:t> Trend </a:t>
            </a:r>
          </a:p>
          <a:p>
            <a:pPr>
              <a:defRPr/>
            </a:pPr>
            <a:endParaRPr lang="en-US"/>
          </a:p>
        </c:rich>
      </c:tx>
      <c:layout>
        <c:manualLayout>
          <c:xMode val="edge"/>
          <c:yMode val="edge"/>
          <c:x val="0.40493744531933507"/>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Pivot!$B$15</c:f>
              <c:strCache>
                <c:ptCount val="1"/>
                <c:pt idx="0">
                  <c:v>Total</c:v>
                </c:pt>
              </c:strCache>
            </c:strRef>
          </c:tx>
          <c:spPr>
            <a:ln w="28575" cap="rnd">
              <a:solidFill>
                <a:schemeClr val="accent1"/>
              </a:solidFill>
              <a:round/>
            </a:ln>
            <a:effectLst/>
          </c:spPr>
          <c:marker>
            <c:symbol val="none"/>
          </c:marker>
          <c:cat>
            <c:strRef>
              <c:f>Pivot!$A$16:$A$23</c:f>
              <c:strCache>
                <c:ptCount val="7"/>
                <c:pt idx="0">
                  <c:v>2018</c:v>
                </c:pt>
                <c:pt idx="1">
                  <c:v>2019</c:v>
                </c:pt>
                <c:pt idx="2">
                  <c:v>2020</c:v>
                </c:pt>
                <c:pt idx="3">
                  <c:v>2021</c:v>
                </c:pt>
                <c:pt idx="4">
                  <c:v>2022</c:v>
                </c:pt>
                <c:pt idx="5">
                  <c:v>2023</c:v>
                </c:pt>
                <c:pt idx="6">
                  <c:v>2024</c:v>
                </c:pt>
              </c:strCache>
            </c:strRef>
          </c:cat>
          <c:val>
            <c:numRef>
              <c:f>Pivot!$B$16:$B$23</c:f>
              <c:numCache>
                <c:formatCode>General</c:formatCode>
                <c:ptCount val="7"/>
                <c:pt idx="0">
                  <c:v>41822</c:v>
                </c:pt>
                <c:pt idx="1">
                  <c:v>40551</c:v>
                </c:pt>
                <c:pt idx="2">
                  <c:v>23488</c:v>
                </c:pt>
                <c:pt idx="3">
                  <c:v>29292</c:v>
                </c:pt>
                <c:pt idx="4">
                  <c:v>25568</c:v>
                </c:pt>
                <c:pt idx="5">
                  <c:v>28458</c:v>
                </c:pt>
                <c:pt idx="6">
                  <c:v>30921</c:v>
                </c:pt>
              </c:numCache>
            </c:numRef>
          </c:val>
          <c:smooth val="0"/>
          <c:extLst>
            <c:ext xmlns:c16="http://schemas.microsoft.com/office/drawing/2014/chart" uri="{C3380CC4-5D6E-409C-BE32-E72D297353CC}">
              <c16:uniqueId val="{00000000-BF7E-48B5-B282-76684BB17F82}"/>
            </c:ext>
          </c:extLst>
        </c:ser>
        <c:dLbls>
          <c:showLegendKey val="0"/>
          <c:showVal val="0"/>
          <c:showCatName val="0"/>
          <c:showSerName val="0"/>
          <c:showPercent val="0"/>
          <c:showBubbleSize val="0"/>
        </c:dLbls>
        <c:smooth val="0"/>
        <c:axId val="300240688"/>
        <c:axId val="1869146512"/>
      </c:lineChart>
      <c:catAx>
        <c:axId val="30024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146512"/>
        <c:crosses val="autoZero"/>
        <c:auto val="1"/>
        <c:lblAlgn val="ctr"/>
        <c:lblOffset val="100"/>
        <c:noMultiLvlLbl val="0"/>
      </c:catAx>
      <c:valAx>
        <c:axId val="186914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24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Distribution </a:t>
            </a:r>
          </a:p>
        </c:rich>
      </c:tx>
      <c:layout>
        <c:manualLayout>
          <c:xMode val="edge"/>
          <c:yMode val="edge"/>
          <c:x val="0.351840113735783"/>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Pivot!$E$15</c:f>
              <c:strCache>
                <c:ptCount val="1"/>
                <c:pt idx="0">
                  <c:v>Total</c:v>
                </c:pt>
              </c:strCache>
            </c:strRef>
          </c:tx>
          <c:spPr>
            <a:solidFill>
              <a:schemeClr val="accent1"/>
            </a:solidFill>
            <a:ln>
              <a:noFill/>
            </a:ln>
            <a:effectLst/>
          </c:spPr>
          <c:invertIfNegative val="0"/>
          <c:cat>
            <c:strRef>
              <c:f>Pivot!$D$16:$D$216</c:f>
              <c:strCache>
                <c:ptCount val="200"/>
                <c:pt idx="0">
                  <c:v>25013</c:v>
                </c:pt>
                <c:pt idx="1">
                  <c:v>25670</c:v>
                </c:pt>
                <c:pt idx="2">
                  <c:v>26740</c:v>
                </c:pt>
                <c:pt idx="3">
                  <c:v>26896</c:v>
                </c:pt>
                <c:pt idx="4">
                  <c:v>27081</c:v>
                </c:pt>
                <c:pt idx="5">
                  <c:v>27261</c:v>
                </c:pt>
                <c:pt idx="6">
                  <c:v>27433</c:v>
                </c:pt>
                <c:pt idx="7">
                  <c:v>27643</c:v>
                </c:pt>
                <c:pt idx="8">
                  <c:v>28940</c:v>
                </c:pt>
                <c:pt idx="9">
                  <c:v>29141</c:v>
                </c:pt>
                <c:pt idx="10">
                  <c:v>29326</c:v>
                </c:pt>
                <c:pt idx="11">
                  <c:v>29461</c:v>
                </c:pt>
                <c:pt idx="12">
                  <c:v>29761</c:v>
                </c:pt>
                <c:pt idx="13">
                  <c:v>30240</c:v>
                </c:pt>
                <c:pt idx="14">
                  <c:v>30419</c:v>
                </c:pt>
                <c:pt idx="15">
                  <c:v>30436</c:v>
                </c:pt>
                <c:pt idx="16">
                  <c:v>30476</c:v>
                </c:pt>
                <c:pt idx="17">
                  <c:v>30865</c:v>
                </c:pt>
                <c:pt idx="18">
                  <c:v>31219</c:v>
                </c:pt>
                <c:pt idx="19">
                  <c:v>31738</c:v>
                </c:pt>
                <c:pt idx="20">
                  <c:v>32093</c:v>
                </c:pt>
                <c:pt idx="21">
                  <c:v>32191</c:v>
                </c:pt>
                <c:pt idx="22">
                  <c:v>32417</c:v>
                </c:pt>
                <c:pt idx="23">
                  <c:v>32693</c:v>
                </c:pt>
                <c:pt idx="24">
                  <c:v>32757</c:v>
                </c:pt>
                <c:pt idx="25">
                  <c:v>32858</c:v>
                </c:pt>
                <c:pt idx="26">
                  <c:v>32866</c:v>
                </c:pt>
                <c:pt idx="27">
                  <c:v>33439</c:v>
                </c:pt>
                <c:pt idx="28">
                  <c:v>33472</c:v>
                </c:pt>
                <c:pt idx="29">
                  <c:v>33515</c:v>
                </c:pt>
                <c:pt idx="30">
                  <c:v>33772</c:v>
                </c:pt>
                <c:pt idx="31">
                  <c:v>33950</c:v>
                </c:pt>
                <c:pt idx="32">
                  <c:v>34010</c:v>
                </c:pt>
                <c:pt idx="33">
                  <c:v>34876</c:v>
                </c:pt>
                <c:pt idx="34">
                  <c:v>35237</c:v>
                </c:pt>
                <c:pt idx="35">
                  <c:v>35284</c:v>
                </c:pt>
                <c:pt idx="36">
                  <c:v>35658</c:v>
                </c:pt>
                <c:pt idx="37">
                  <c:v>36228</c:v>
                </c:pt>
                <c:pt idx="38">
                  <c:v>36544</c:v>
                </c:pt>
                <c:pt idx="39">
                  <c:v>36684</c:v>
                </c:pt>
                <c:pt idx="40">
                  <c:v>36804</c:v>
                </c:pt>
                <c:pt idx="41">
                  <c:v>36944</c:v>
                </c:pt>
                <c:pt idx="42">
                  <c:v>37260</c:v>
                </c:pt>
                <c:pt idx="43">
                  <c:v>38022</c:v>
                </c:pt>
                <c:pt idx="44">
                  <c:v>38173</c:v>
                </c:pt>
                <c:pt idx="45">
                  <c:v>38668</c:v>
                </c:pt>
                <c:pt idx="46">
                  <c:v>39045</c:v>
                </c:pt>
                <c:pt idx="47">
                  <c:v>39140</c:v>
                </c:pt>
                <c:pt idx="48">
                  <c:v>40104</c:v>
                </c:pt>
                <c:pt idx="49">
                  <c:v>41173</c:v>
                </c:pt>
                <c:pt idx="50">
                  <c:v>41379</c:v>
                </c:pt>
                <c:pt idx="51">
                  <c:v>41655</c:v>
                </c:pt>
                <c:pt idx="52">
                  <c:v>42722</c:v>
                </c:pt>
                <c:pt idx="53">
                  <c:v>42955</c:v>
                </c:pt>
                <c:pt idx="54">
                  <c:v>43193</c:v>
                </c:pt>
                <c:pt idx="55">
                  <c:v>43332</c:v>
                </c:pt>
                <c:pt idx="56">
                  <c:v>43355</c:v>
                </c:pt>
                <c:pt idx="57">
                  <c:v>43581</c:v>
                </c:pt>
                <c:pt idx="58">
                  <c:v>43625</c:v>
                </c:pt>
                <c:pt idx="59">
                  <c:v>43678</c:v>
                </c:pt>
                <c:pt idx="60">
                  <c:v>43866</c:v>
                </c:pt>
                <c:pt idx="61">
                  <c:v>43981</c:v>
                </c:pt>
                <c:pt idx="62">
                  <c:v>44322</c:v>
                </c:pt>
                <c:pt idx="63">
                  <c:v>44643</c:v>
                </c:pt>
                <c:pt idx="64">
                  <c:v>45836</c:v>
                </c:pt>
                <c:pt idx="65">
                  <c:v>46505</c:v>
                </c:pt>
                <c:pt idx="66">
                  <c:v>46559</c:v>
                </c:pt>
                <c:pt idx="67">
                  <c:v>46815</c:v>
                </c:pt>
                <c:pt idx="68">
                  <c:v>46864</c:v>
                </c:pt>
                <c:pt idx="69">
                  <c:v>46977</c:v>
                </c:pt>
                <c:pt idx="70">
                  <c:v>47337</c:v>
                </c:pt>
                <c:pt idx="71">
                  <c:v>47355</c:v>
                </c:pt>
                <c:pt idx="72">
                  <c:v>47490</c:v>
                </c:pt>
                <c:pt idx="73">
                  <c:v>47502</c:v>
                </c:pt>
                <c:pt idx="74">
                  <c:v>48776</c:v>
                </c:pt>
                <c:pt idx="75">
                  <c:v>49132</c:v>
                </c:pt>
                <c:pt idx="76">
                  <c:v>49860</c:v>
                </c:pt>
                <c:pt idx="77">
                  <c:v>50603</c:v>
                </c:pt>
                <c:pt idx="78">
                  <c:v>50725</c:v>
                </c:pt>
                <c:pt idx="79">
                  <c:v>50795</c:v>
                </c:pt>
                <c:pt idx="80">
                  <c:v>50995</c:v>
                </c:pt>
                <c:pt idx="81">
                  <c:v>51193</c:v>
                </c:pt>
                <c:pt idx="82">
                  <c:v>52800</c:v>
                </c:pt>
                <c:pt idx="83">
                  <c:v>53245</c:v>
                </c:pt>
                <c:pt idx="84">
                  <c:v>53553</c:v>
                </c:pt>
                <c:pt idx="85">
                  <c:v>53748</c:v>
                </c:pt>
                <c:pt idx="86">
                  <c:v>53844</c:v>
                </c:pt>
                <c:pt idx="87">
                  <c:v>54027</c:v>
                </c:pt>
                <c:pt idx="88">
                  <c:v>54668</c:v>
                </c:pt>
                <c:pt idx="89">
                  <c:v>55846</c:v>
                </c:pt>
                <c:pt idx="90">
                  <c:v>56069</c:v>
                </c:pt>
                <c:pt idx="91">
                  <c:v>56195</c:v>
                </c:pt>
                <c:pt idx="92">
                  <c:v>56328</c:v>
                </c:pt>
                <c:pt idx="93">
                  <c:v>56329</c:v>
                </c:pt>
                <c:pt idx="94">
                  <c:v>56371</c:v>
                </c:pt>
                <c:pt idx="95">
                  <c:v>56410</c:v>
                </c:pt>
                <c:pt idx="96">
                  <c:v>56578</c:v>
                </c:pt>
                <c:pt idx="97">
                  <c:v>56967</c:v>
                </c:pt>
                <c:pt idx="98">
                  <c:v>57280</c:v>
                </c:pt>
                <c:pt idx="99">
                  <c:v>58086</c:v>
                </c:pt>
                <c:pt idx="100">
                  <c:v>58136</c:v>
                </c:pt>
                <c:pt idx="101">
                  <c:v>59051</c:v>
                </c:pt>
                <c:pt idx="102">
                  <c:v>59537</c:v>
                </c:pt>
                <c:pt idx="103">
                  <c:v>59930</c:v>
                </c:pt>
                <c:pt idx="104">
                  <c:v>60206</c:v>
                </c:pt>
                <c:pt idx="105">
                  <c:v>60533</c:v>
                </c:pt>
                <c:pt idx="106">
                  <c:v>60894</c:v>
                </c:pt>
                <c:pt idx="107">
                  <c:v>60918</c:v>
                </c:pt>
                <c:pt idx="108">
                  <c:v>61068</c:v>
                </c:pt>
                <c:pt idx="109">
                  <c:v>62171</c:v>
                </c:pt>
                <c:pt idx="110">
                  <c:v>62177</c:v>
                </c:pt>
                <c:pt idx="111">
                  <c:v>62260</c:v>
                </c:pt>
                <c:pt idx="112">
                  <c:v>62309</c:v>
                </c:pt>
                <c:pt idx="113">
                  <c:v>62509</c:v>
                </c:pt>
                <c:pt idx="114">
                  <c:v>62976</c:v>
                </c:pt>
                <c:pt idx="115">
                  <c:v>63073</c:v>
                </c:pt>
                <c:pt idx="116">
                  <c:v>63230</c:v>
                </c:pt>
                <c:pt idx="117">
                  <c:v>63403</c:v>
                </c:pt>
                <c:pt idx="118">
                  <c:v>64078</c:v>
                </c:pt>
                <c:pt idx="119">
                  <c:v>64129</c:v>
                </c:pt>
                <c:pt idx="120">
                  <c:v>64368</c:v>
                </c:pt>
                <c:pt idx="121">
                  <c:v>64388</c:v>
                </c:pt>
                <c:pt idx="122">
                  <c:v>64777</c:v>
                </c:pt>
                <c:pt idx="123">
                  <c:v>64814</c:v>
                </c:pt>
                <c:pt idx="124">
                  <c:v>65378</c:v>
                </c:pt>
                <c:pt idx="125">
                  <c:v>65382</c:v>
                </c:pt>
                <c:pt idx="126">
                  <c:v>65395</c:v>
                </c:pt>
                <c:pt idx="127">
                  <c:v>65501</c:v>
                </c:pt>
                <c:pt idx="128">
                  <c:v>65770</c:v>
                </c:pt>
                <c:pt idx="129">
                  <c:v>65959</c:v>
                </c:pt>
                <c:pt idx="130">
                  <c:v>66174</c:v>
                </c:pt>
                <c:pt idx="131">
                  <c:v>66408</c:v>
                </c:pt>
                <c:pt idx="132">
                  <c:v>66554</c:v>
                </c:pt>
                <c:pt idx="133">
                  <c:v>66844</c:v>
                </c:pt>
                <c:pt idx="134">
                  <c:v>67100</c:v>
                </c:pt>
                <c:pt idx="135">
                  <c:v>67240</c:v>
                </c:pt>
                <c:pt idx="136">
                  <c:v>68046</c:v>
                </c:pt>
                <c:pt idx="137">
                  <c:v>68069</c:v>
                </c:pt>
                <c:pt idx="138">
                  <c:v>68144</c:v>
                </c:pt>
                <c:pt idx="139">
                  <c:v>68163</c:v>
                </c:pt>
                <c:pt idx="140">
                  <c:v>68655</c:v>
                </c:pt>
                <c:pt idx="141">
                  <c:v>69744</c:v>
                </c:pt>
                <c:pt idx="142">
                  <c:v>70043</c:v>
                </c:pt>
                <c:pt idx="143">
                  <c:v>70153</c:v>
                </c:pt>
                <c:pt idx="144">
                  <c:v>70168</c:v>
                </c:pt>
                <c:pt idx="145">
                  <c:v>70824</c:v>
                </c:pt>
                <c:pt idx="146">
                  <c:v>70876</c:v>
                </c:pt>
                <c:pt idx="147">
                  <c:v>71031</c:v>
                </c:pt>
                <c:pt idx="148">
                  <c:v>71189</c:v>
                </c:pt>
                <c:pt idx="149">
                  <c:v>71205</c:v>
                </c:pt>
                <c:pt idx="150">
                  <c:v>72645</c:v>
                </c:pt>
                <c:pt idx="151">
                  <c:v>72754</c:v>
                </c:pt>
                <c:pt idx="152">
                  <c:v>73234</c:v>
                </c:pt>
                <c:pt idx="153">
                  <c:v>73888</c:v>
                </c:pt>
                <c:pt idx="154">
                  <c:v>73896</c:v>
                </c:pt>
                <c:pt idx="155">
                  <c:v>74127</c:v>
                </c:pt>
                <c:pt idx="156">
                  <c:v>74193</c:v>
                </c:pt>
                <c:pt idx="157">
                  <c:v>74281</c:v>
                </c:pt>
                <c:pt idx="158">
                  <c:v>74340</c:v>
                </c:pt>
                <c:pt idx="159">
                  <c:v>74625</c:v>
                </c:pt>
                <c:pt idx="160">
                  <c:v>75190</c:v>
                </c:pt>
                <c:pt idx="161">
                  <c:v>75266</c:v>
                </c:pt>
                <c:pt idx="162">
                  <c:v>75680</c:v>
                </c:pt>
                <c:pt idx="163">
                  <c:v>75743</c:v>
                </c:pt>
                <c:pt idx="164">
                  <c:v>76097</c:v>
                </c:pt>
                <c:pt idx="165">
                  <c:v>76530</c:v>
                </c:pt>
                <c:pt idx="166">
                  <c:v>76737</c:v>
                </c:pt>
                <c:pt idx="167">
                  <c:v>77229</c:v>
                </c:pt>
                <c:pt idx="168">
                  <c:v>77797</c:v>
                </c:pt>
                <c:pt idx="169">
                  <c:v>77812</c:v>
                </c:pt>
                <c:pt idx="170">
                  <c:v>77924</c:v>
                </c:pt>
                <c:pt idx="171">
                  <c:v>78005</c:v>
                </c:pt>
                <c:pt idx="172">
                  <c:v>79745</c:v>
                </c:pt>
                <c:pt idx="173">
                  <c:v>79870</c:v>
                </c:pt>
                <c:pt idx="174">
                  <c:v>80311</c:v>
                </c:pt>
                <c:pt idx="175">
                  <c:v>80441</c:v>
                </c:pt>
                <c:pt idx="176">
                  <c:v>80513</c:v>
                </c:pt>
                <c:pt idx="177">
                  <c:v>80920</c:v>
                </c:pt>
                <c:pt idx="178">
                  <c:v>81228</c:v>
                </c:pt>
                <c:pt idx="179">
                  <c:v>81515</c:v>
                </c:pt>
                <c:pt idx="180">
                  <c:v>81529</c:v>
                </c:pt>
                <c:pt idx="181">
                  <c:v>82246</c:v>
                </c:pt>
                <c:pt idx="182">
                  <c:v>83439</c:v>
                </c:pt>
                <c:pt idx="183">
                  <c:v>83770</c:v>
                </c:pt>
                <c:pt idx="184">
                  <c:v>83845</c:v>
                </c:pt>
                <c:pt idx="185">
                  <c:v>84244</c:v>
                </c:pt>
                <c:pt idx="186">
                  <c:v>84334</c:v>
                </c:pt>
                <c:pt idx="187">
                  <c:v>84948</c:v>
                </c:pt>
                <c:pt idx="188">
                  <c:v>85457</c:v>
                </c:pt>
                <c:pt idx="189">
                  <c:v>85560</c:v>
                </c:pt>
                <c:pt idx="190">
                  <c:v>86753</c:v>
                </c:pt>
                <c:pt idx="191">
                  <c:v>86887</c:v>
                </c:pt>
                <c:pt idx="192">
                  <c:v>87705</c:v>
                </c:pt>
                <c:pt idx="193">
                  <c:v>87798</c:v>
                </c:pt>
                <c:pt idx="194">
                  <c:v>88773</c:v>
                </c:pt>
                <c:pt idx="195">
                  <c:v>88866</c:v>
                </c:pt>
                <c:pt idx="196">
                  <c:v>89424</c:v>
                </c:pt>
                <c:pt idx="197">
                  <c:v>89582</c:v>
                </c:pt>
                <c:pt idx="198">
                  <c:v>89601</c:v>
                </c:pt>
                <c:pt idx="199">
                  <c:v>89935</c:v>
                </c:pt>
              </c:strCache>
            </c:strRef>
          </c:cat>
          <c:val>
            <c:numRef>
              <c:f>Pivot!$E$16:$E$216</c:f>
              <c:numCache>
                <c:formatCode>General</c:formatCode>
                <c:ptCount val="200"/>
                <c:pt idx="0">
                  <c:v>1158</c:v>
                </c:pt>
                <c:pt idx="1">
                  <c:v>1083</c:v>
                </c:pt>
                <c:pt idx="2">
                  <c:v>1029</c:v>
                </c:pt>
                <c:pt idx="3">
                  <c:v>1179</c:v>
                </c:pt>
                <c:pt idx="4">
                  <c:v>1018</c:v>
                </c:pt>
                <c:pt idx="5">
                  <c:v>1121</c:v>
                </c:pt>
                <c:pt idx="6">
                  <c:v>1068</c:v>
                </c:pt>
                <c:pt idx="7">
                  <c:v>1155</c:v>
                </c:pt>
                <c:pt idx="8">
                  <c:v>1125</c:v>
                </c:pt>
                <c:pt idx="9">
                  <c:v>1159</c:v>
                </c:pt>
                <c:pt idx="10">
                  <c:v>1098</c:v>
                </c:pt>
                <c:pt idx="11">
                  <c:v>1181</c:v>
                </c:pt>
                <c:pt idx="12">
                  <c:v>1176</c:v>
                </c:pt>
                <c:pt idx="13">
                  <c:v>1172</c:v>
                </c:pt>
                <c:pt idx="14">
                  <c:v>1131</c:v>
                </c:pt>
                <c:pt idx="15">
                  <c:v>1056</c:v>
                </c:pt>
                <c:pt idx="16">
                  <c:v>1196</c:v>
                </c:pt>
                <c:pt idx="17">
                  <c:v>1003</c:v>
                </c:pt>
                <c:pt idx="18">
                  <c:v>1057</c:v>
                </c:pt>
                <c:pt idx="19">
                  <c:v>1008</c:v>
                </c:pt>
                <c:pt idx="20">
                  <c:v>1030</c:v>
                </c:pt>
                <c:pt idx="21">
                  <c:v>1005</c:v>
                </c:pt>
                <c:pt idx="22">
                  <c:v>1160</c:v>
                </c:pt>
                <c:pt idx="23">
                  <c:v>1111</c:v>
                </c:pt>
                <c:pt idx="24">
                  <c:v>1129</c:v>
                </c:pt>
                <c:pt idx="25">
                  <c:v>1074</c:v>
                </c:pt>
                <c:pt idx="26">
                  <c:v>1077</c:v>
                </c:pt>
                <c:pt idx="27">
                  <c:v>1127</c:v>
                </c:pt>
                <c:pt idx="28">
                  <c:v>1066</c:v>
                </c:pt>
                <c:pt idx="29">
                  <c:v>1042</c:v>
                </c:pt>
                <c:pt idx="30">
                  <c:v>1175</c:v>
                </c:pt>
                <c:pt idx="31">
                  <c:v>1174</c:v>
                </c:pt>
                <c:pt idx="32">
                  <c:v>1096</c:v>
                </c:pt>
                <c:pt idx="33">
                  <c:v>1164</c:v>
                </c:pt>
                <c:pt idx="34">
                  <c:v>1103</c:v>
                </c:pt>
                <c:pt idx="35">
                  <c:v>1173</c:v>
                </c:pt>
                <c:pt idx="36">
                  <c:v>1180</c:v>
                </c:pt>
                <c:pt idx="37">
                  <c:v>1072</c:v>
                </c:pt>
                <c:pt idx="38">
                  <c:v>1152</c:v>
                </c:pt>
                <c:pt idx="39">
                  <c:v>1060</c:v>
                </c:pt>
                <c:pt idx="40">
                  <c:v>1037</c:v>
                </c:pt>
                <c:pt idx="41">
                  <c:v>1115</c:v>
                </c:pt>
                <c:pt idx="42">
                  <c:v>1036</c:v>
                </c:pt>
                <c:pt idx="43">
                  <c:v>1137</c:v>
                </c:pt>
                <c:pt idx="44">
                  <c:v>1133</c:v>
                </c:pt>
                <c:pt idx="45">
                  <c:v>1051</c:v>
                </c:pt>
                <c:pt idx="46">
                  <c:v>1167</c:v>
                </c:pt>
                <c:pt idx="47">
                  <c:v>1147</c:v>
                </c:pt>
                <c:pt idx="48">
                  <c:v>1007</c:v>
                </c:pt>
                <c:pt idx="49">
                  <c:v>1086</c:v>
                </c:pt>
                <c:pt idx="50">
                  <c:v>1053</c:v>
                </c:pt>
                <c:pt idx="51">
                  <c:v>1161</c:v>
                </c:pt>
                <c:pt idx="52">
                  <c:v>1071</c:v>
                </c:pt>
                <c:pt idx="53">
                  <c:v>1012</c:v>
                </c:pt>
                <c:pt idx="54">
                  <c:v>1041</c:v>
                </c:pt>
                <c:pt idx="55">
                  <c:v>1019</c:v>
                </c:pt>
                <c:pt idx="56">
                  <c:v>1118</c:v>
                </c:pt>
                <c:pt idx="57">
                  <c:v>1016</c:v>
                </c:pt>
                <c:pt idx="58">
                  <c:v>1055</c:v>
                </c:pt>
                <c:pt idx="59">
                  <c:v>1123</c:v>
                </c:pt>
                <c:pt idx="60">
                  <c:v>1151</c:v>
                </c:pt>
                <c:pt idx="61">
                  <c:v>1032</c:v>
                </c:pt>
                <c:pt idx="62">
                  <c:v>1148</c:v>
                </c:pt>
                <c:pt idx="63">
                  <c:v>1110</c:v>
                </c:pt>
                <c:pt idx="64">
                  <c:v>1033</c:v>
                </c:pt>
                <c:pt idx="65">
                  <c:v>1145</c:v>
                </c:pt>
                <c:pt idx="66">
                  <c:v>1200</c:v>
                </c:pt>
                <c:pt idx="67">
                  <c:v>1149</c:v>
                </c:pt>
                <c:pt idx="68">
                  <c:v>1134</c:v>
                </c:pt>
                <c:pt idx="69">
                  <c:v>1011</c:v>
                </c:pt>
                <c:pt idx="70">
                  <c:v>1047</c:v>
                </c:pt>
                <c:pt idx="71">
                  <c:v>1146</c:v>
                </c:pt>
                <c:pt idx="72">
                  <c:v>1006</c:v>
                </c:pt>
                <c:pt idx="73">
                  <c:v>1079</c:v>
                </c:pt>
                <c:pt idx="74">
                  <c:v>1095</c:v>
                </c:pt>
                <c:pt idx="75">
                  <c:v>1014</c:v>
                </c:pt>
                <c:pt idx="76">
                  <c:v>1142</c:v>
                </c:pt>
                <c:pt idx="77">
                  <c:v>1128</c:v>
                </c:pt>
                <c:pt idx="78">
                  <c:v>1090</c:v>
                </c:pt>
                <c:pt idx="79">
                  <c:v>1075</c:v>
                </c:pt>
                <c:pt idx="80">
                  <c:v>1021</c:v>
                </c:pt>
                <c:pt idx="81">
                  <c:v>1020</c:v>
                </c:pt>
                <c:pt idx="82">
                  <c:v>1154</c:v>
                </c:pt>
                <c:pt idx="83">
                  <c:v>1153</c:v>
                </c:pt>
                <c:pt idx="84">
                  <c:v>1183</c:v>
                </c:pt>
                <c:pt idx="85">
                  <c:v>1064</c:v>
                </c:pt>
                <c:pt idx="86">
                  <c:v>1046</c:v>
                </c:pt>
                <c:pt idx="87">
                  <c:v>1157</c:v>
                </c:pt>
                <c:pt idx="88">
                  <c:v>1088</c:v>
                </c:pt>
                <c:pt idx="89">
                  <c:v>1009</c:v>
                </c:pt>
                <c:pt idx="90">
                  <c:v>1069</c:v>
                </c:pt>
                <c:pt idx="91">
                  <c:v>1038</c:v>
                </c:pt>
                <c:pt idx="92">
                  <c:v>1050</c:v>
                </c:pt>
                <c:pt idx="93">
                  <c:v>1067</c:v>
                </c:pt>
                <c:pt idx="94">
                  <c:v>1024</c:v>
                </c:pt>
                <c:pt idx="95">
                  <c:v>1004</c:v>
                </c:pt>
                <c:pt idx="96">
                  <c:v>1049</c:v>
                </c:pt>
                <c:pt idx="97">
                  <c:v>1199</c:v>
                </c:pt>
                <c:pt idx="98">
                  <c:v>1132</c:v>
                </c:pt>
                <c:pt idx="99">
                  <c:v>1035</c:v>
                </c:pt>
                <c:pt idx="100">
                  <c:v>1136</c:v>
                </c:pt>
                <c:pt idx="101">
                  <c:v>1099</c:v>
                </c:pt>
                <c:pt idx="102">
                  <c:v>1045</c:v>
                </c:pt>
                <c:pt idx="103">
                  <c:v>1073</c:v>
                </c:pt>
                <c:pt idx="104">
                  <c:v>1023</c:v>
                </c:pt>
                <c:pt idx="105">
                  <c:v>1065</c:v>
                </c:pt>
                <c:pt idx="106">
                  <c:v>1178</c:v>
                </c:pt>
                <c:pt idx="107">
                  <c:v>1139</c:v>
                </c:pt>
                <c:pt idx="108">
                  <c:v>1184</c:v>
                </c:pt>
                <c:pt idx="109">
                  <c:v>1112</c:v>
                </c:pt>
                <c:pt idx="110">
                  <c:v>1101</c:v>
                </c:pt>
                <c:pt idx="111">
                  <c:v>1170</c:v>
                </c:pt>
                <c:pt idx="112">
                  <c:v>1081</c:v>
                </c:pt>
                <c:pt idx="113">
                  <c:v>1100</c:v>
                </c:pt>
                <c:pt idx="114">
                  <c:v>1113</c:v>
                </c:pt>
                <c:pt idx="115">
                  <c:v>1120</c:v>
                </c:pt>
                <c:pt idx="116">
                  <c:v>1109</c:v>
                </c:pt>
                <c:pt idx="117">
                  <c:v>1187</c:v>
                </c:pt>
                <c:pt idx="118">
                  <c:v>1091</c:v>
                </c:pt>
                <c:pt idx="119">
                  <c:v>1048</c:v>
                </c:pt>
                <c:pt idx="120">
                  <c:v>1192</c:v>
                </c:pt>
                <c:pt idx="121">
                  <c:v>1001</c:v>
                </c:pt>
                <c:pt idx="122">
                  <c:v>1044</c:v>
                </c:pt>
                <c:pt idx="123">
                  <c:v>1195</c:v>
                </c:pt>
                <c:pt idx="124">
                  <c:v>1040</c:v>
                </c:pt>
                <c:pt idx="125">
                  <c:v>1119</c:v>
                </c:pt>
                <c:pt idx="126">
                  <c:v>1105</c:v>
                </c:pt>
                <c:pt idx="127">
                  <c:v>1102</c:v>
                </c:pt>
                <c:pt idx="128">
                  <c:v>1124</c:v>
                </c:pt>
                <c:pt idx="129">
                  <c:v>1084</c:v>
                </c:pt>
                <c:pt idx="130">
                  <c:v>1027</c:v>
                </c:pt>
                <c:pt idx="131">
                  <c:v>1168</c:v>
                </c:pt>
                <c:pt idx="132">
                  <c:v>1059</c:v>
                </c:pt>
                <c:pt idx="133">
                  <c:v>1186</c:v>
                </c:pt>
                <c:pt idx="134">
                  <c:v>1106</c:v>
                </c:pt>
                <c:pt idx="135">
                  <c:v>1043</c:v>
                </c:pt>
                <c:pt idx="136">
                  <c:v>1122</c:v>
                </c:pt>
                <c:pt idx="137">
                  <c:v>1085</c:v>
                </c:pt>
                <c:pt idx="138">
                  <c:v>1097</c:v>
                </c:pt>
                <c:pt idx="139">
                  <c:v>1031</c:v>
                </c:pt>
                <c:pt idx="140">
                  <c:v>1063</c:v>
                </c:pt>
                <c:pt idx="141">
                  <c:v>1169</c:v>
                </c:pt>
                <c:pt idx="142">
                  <c:v>1034</c:v>
                </c:pt>
                <c:pt idx="143">
                  <c:v>1078</c:v>
                </c:pt>
                <c:pt idx="144">
                  <c:v>1191</c:v>
                </c:pt>
                <c:pt idx="145">
                  <c:v>1198</c:v>
                </c:pt>
                <c:pt idx="146">
                  <c:v>1026</c:v>
                </c:pt>
                <c:pt idx="147">
                  <c:v>1015</c:v>
                </c:pt>
                <c:pt idx="148">
                  <c:v>1076</c:v>
                </c:pt>
                <c:pt idx="149">
                  <c:v>1039</c:v>
                </c:pt>
                <c:pt idx="150">
                  <c:v>1188</c:v>
                </c:pt>
                <c:pt idx="151">
                  <c:v>1058</c:v>
                </c:pt>
                <c:pt idx="152">
                  <c:v>1171</c:v>
                </c:pt>
                <c:pt idx="153">
                  <c:v>1025</c:v>
                </c:pt>
                <c:pt idx="154">
                  <c:v>1185</c:v>
                </c:pt>
                <c:pt idx="155">
                  <c:v>1114</c:v>
                </c:pt>
                <c:pt idx="156">
                  <c:v>1054</c:v>
                </c:pt>
                <c:pt idx="157">
                  <c:v>1135</c:v>
                </c:pt>
                <c:pt idx="158">
                  <c:v>1182</c:v>
                </c:pt>
                <c:pt idx="159">
                  <c:v>1080</c:v>
                </c:pt>
                <c:pt idx="160">
                  <c:v>1010</c:v>
                </c:pt>
                <c:pt idx="161">
                  <c:v>1013</c:v>
                </c:pt>
                <c:pt idx="162">
                  <c:v>1144</c:v>
                </c:pt>
                <c:pt idx="163">
                  <c:v>1089</c:v>
                </c:pt>
                <c:pt idx="164">
                  <c:v>1002</c:v>
                </c:pt>
                <c:pt idx="165">
                  <c:v>1177</c:v>
                </c:pt>
                <c:pt idx="166">
                  <c:v>1165</c:v>
                </c:pt>
                <c:pt idx="167">
                  <c:v>1070</c:v>
                </c:pt>
                <c:pt idx="168">
                  <c:v>1197</c:v>
                </c:pt>
                <c:pt idx="169">
                  <c:v>1094</c:v>
                </c:pt>
                <c:pt idx="170">
                  <c:v>1143</c:v>
                </c:pt>
                <c:pt idx="171">
                  <c:v>1140</c:v>
                </c:pt>
                <c:pt idx="172">
                  <c:v>1190</c:v>
                </c:pt>
                <c:pt idx="173">
                  <c:v>1117</c:v>
                </c:pt>
                <c:pt idx="174">
                  <c:v>1116</c:v>
                </c:pt>
                <c:pt idx="175">
                  <c:v>1156</c:v>
                </c:pt>
                <c:pt idx="176">
                  <c:v>1017</c:v>
                </c:pt>
                <c:pt idx="177">
                  <c:v>1028</c:v>
                </c:pt>
                <c:pt idx="178">
                  <c:v>1162</c:v>
                </c:pt>
                <c:pt idx="179">
                  <c:v>1104</c:v>
                </c:pt>
                <c:pt idx="180">
                  <c:v>1126</c:v>
                </c:pt>
                <c:pt idx="181">
                  <c:v>1194</c:v>
                </c:pt>
                <c:pt idx="182">
                  <c:v>1087</c:v>
                </c:pt>
                <c:pt idx="183">
                  <c:v>1150</c:v>
                </c:pt>
                <c:pt idx="184">
                  <c:v>1107</c:v>
                </c:pt>
                <c:pt idx="185">
                  <c:v>1130</c:v>
                </c:pt>
                <c:pt idx="186">
                  <c:v>1093</c:v>
                </c:pt>
                <c:pt idx="187">
                  <c:v>1092</c:v>
                </c:pt>
                <c:pt idx="188">
                  <c:v>1108</c:v>
                </c:pt>
                <c:pt idx="189">
                  <c:v>1166</c:v>
                </c:pt>
                <c:pt idx="190">
                  <c:v>1061</c:v>
                </c:pt>
                <c:pt idx="191">
                  <c:v>1189</c:v>
                </c:pt>
                <c:pt idx="192">
                  <c:v>1082</c:v>
                </c:pt>
                <c:pt idx="193">
                  <c:v>1141</c:v>
                </c:pt>
                <c:pt idx="194">
                  <c:v>1052</c:v>
                </c:pt>
                <c:pt idx="195">
                  <c:v>1193</c:v>
                </c:pt>
                <c:pt idx="196">
                  <c:v>1062</c:v>
                </c:pt>
                <c:pt idx="197">
                  <c:v>1163</c:v>
                </c:pt>
                <c:pt idx="198">
                  <c:v>1022</c:v>
                </c:pt>
                <c:pt idx="199">
                  <c:v>1138</c:v>
                </c:pt>
              </c:numCache>
            </c:numRef>
          </c:val>
          <c:extLst>
            <c:ext xmlns:c16="http://schemas.microsoft.com/office/drawing/2014/chart" uri="{C3380CC4-5D6E-409C-BE32-E72D297353CC}">
              <c16:uniqueId val="{00000000-BD06-4529-9E52-EE05D5D44793}"/>
            </c:ext>
          </c:extLst>
        </c:ser>
        <c:dLbls>
          <c:showLegendKey val="0"/>
          <c:showVal val="0"/>
          <c:showCatName val="0"/>
          <c:showSerName val="0"/>
          <c:showPercent val="0"/>
          <c:showBubbleSize val="0"/>
        </c:dLbls>
        <c:gapWidth val="219"/>
        <c:overlap val="-27"/>
        <c:axId val="1423315328"/>
        <c:axId val="1423316288"/>
      </c:barChart>
      <c:catAx>
        <c:axId val="142331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316288"/>
        <c:crosses val="autoZero"/>
        <c:auto val="1"/>
        <c:lblAlgn val="ctr"/>
        <c:lblOffset val="100"/>
        <c:noMultiLvlLbl val="0"/>
      </c:catAx>
      <c:valAx>
        <c:axId val="142331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31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335280</xdr:colOff>
      <xdr:row>15</xdr:row>
      <xdr:rowOff>45720</xdr:rowOff>
    </xdr:to>
    <xdr:graphicFrame macro="">
      <xdr:nvGraphicFramePr>
        <xdr:cNvPr id="2" name="Chart 1">
          <a:extLst>
            <a:ext uri="{FF2B5EF4-FFF2-40B4-BE49-F238E27FC236}">
              <a16:creationId xmlns:a16="http://schemas.microsoft.com/office/drawing/2014/main" id="{9BF99F96-6560-4A33-940C-9BCF932FD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304800</xdr:colOff>
      <xdr:row>0</xdr:row>
      <xdr:rowOff>0</xdr:rowOff>
    </xdr:from>
    <xdr:to>
      <xdr:col>17</xdr:col>
      <xdr:colOff>594360</xdr:colOff>
      <xdr:row>15</xdr:row>
      <xdr:rowOff>53340</xdr:rowOff>
    </xdr:to>
    <xdr:graphicFrame macro="">
      <xdr:nvGraphicFramePr>
        <xdr:cNvPr id="3" name="Chart 2">
          <a:extLst>
            <a:ext uri="{FF2B5EF4-FFF2-40B4-BE49-F238E27FC236}">
              <a16:creationId xmlns:a16="http://schemas.microsoft.com/office/drawing/2014/main" id="{674BE5C2-BE28-40C6-A789-814F7C6CC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185029</xdr:rowOff>
    </xdr:from>
    <xdr:to>
      <xdr:col>7</xdr:col>
      <xdr:colOff>304800</xdr:colOff>
      <xdr:row>35</xdr:row>
      <xdr:rowOff>185030</xdr:rowOff>
    </xdr:to>
    <xdr:graphicFrame macro="">
      <xdr:nvGraphicFramePr>
        <xdr:cNvPr id="4" name="Chart 3">
          <a:extLst>
            <a:ext uri="{FF2B5EF4-FFF2-40B4-BE49-F238E27FC236}">
              <a16:creationId xmlns:a16="http://schemas.microsoft.com/office/drawing/2014/main" id="{319F88B7-6773-4BA1-96C2-4EAA8915B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210039</xdr:colOff>
      <xdr:row>21</xdr:row>
      <xdr:rowOff>5862</xdr:rowOff>
    </xdr:from>
    <xdr:to>
      <xdr:col>17</xdr:col>
      <xdr:colOff>514839</xdr:colOff>
      <xdr:row>36</xdr:row>
      <xdr:rowOff>5861</xdr:rowOff>
    </xdr:to>
    <xdr:graphicFrame macro="">
      <xdr:nvGraphicFramePr>
        <xdr:cNvPr id="5" name="Chart 4">
          <a:extLst>
            <a:ext uri="{FF2B5EF4-FFF2-40B4-BE49-F238E27FC236}">
              <a16:creationId xmlns:a16="http://schemas.microsoft.com/office/drawing/2014/main" id="{FB8FFA6C-2616-43EC-A531-F570C78CA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15</xdr:row>
      <xdr:rowOff>55489</xdr:rowOff>
    </xdr:from>
    <xdr:to>
      <xdr:col>3</xdr:col>
      <xdr:colOff>99841</xdr:colOff>
      <xdr:row>21</xdr:row>
      <xdr:rowOff>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4A39B103-8BE0-AD0B-6B6F-D82AA1DD096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839720"/>
              <a:ext cx="1916918" cy="1058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293077</xdr:colOff>
      <xdr:row>21</xdr:row>
      <xdr:rowOff>9965</xdr:rowOff>
    </xdr:from>
    <xdr:to>
      <xdr:col>10</xdr:col>
      <xdr:colOff>234462</xdr:colOff>
      <xdr:row>35</xdr:row>
      <xdr:rowOff>146540</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6B3F0596-7783-762B-5E25-DB202E6C5BD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532923" y="3907888"/>
              <a:ext cx="1758462" cy="2735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537308</xdr:colOff>
      <xdr:row>15</xdr:row>
      <xdr:rowOff>58615</xdr:rowOff>
    </xdr:from>
    <xdr:to>
      <xdr:col>17</xdr:col>
      <xdr:colOff>604130</xdr:colOff>
      <xdr:row>21</xdr:row>
      <xdr:rowOff>2542</xdr:rowOff>
    </xdr:to>
    <mc:AlternateContent xmlns:mc="http://schemas.openxmlformats.org/markup-compatibility/2006" xmlns:a14="http://schemas.microsoft.com/office/drawing/2010/main">
      <mc:Choice Requires="a14">
        <xdr:graphicFrame macro="">
          <xdr:nvGraphicFramePr>
            <xdr:cNvPr id="8" name="Attrition">
              <a:extLst>
                <a:ext uri="{FF2B5EF4-FFF2-40B4-BE49-F238E27FC236}">
                  <a16:creationId xmlns:a16="http://schemas.microsoft.com/office/drawing/2014/main" id="{47FA4FC8-4E86-BF6A-4A15-AC8995C250E5}"/>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9017000" y="2842846"/>
              <a:ext cx="1883899" cy="1057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312616</xdr:colOff>
      <xdr:row>0</xdr:row>
      <xdr:rowOff>0</xdr:rowOff>
    </xdr:from>
    <xdr:to>
      <xdr:col>10</xdr:col>
      <xdr:colOff>297180</xdr:colOff>
      <xdr:row>15</xdr:row>
      <xdr:rowOff>48846</xdr:rowOff>
    </xdr:to>
    <mc:AlternateContent xmlns:mc="http://schemas.openxmlformats.org/markup-compatibility/2006" xmlns:a14="http://schemas.microsoft.com/office/drawing/2010/main">
      <mc:Choice Requires="a14">
        <xdr:graphicFrame macro="">
          <xdr:nvGraphicFramePr>
            <xdr:cNvPr id="9" name="Years (Hire_Date)">
              <a:extLst>
                <a:ext uri="{FF2B5EF4-FFF2-40B4-BE49-F238E27FC236}">
                  <a16:creationId xmlns:a16="http://schemas.microsoft.com/office/drawing/2014/main" id="{BBF6DE4D-64B8-7969-9B21-98C4D2795EFE}"/>
                </a:ext>
              </a:extLst>
            </xdr:cNvPr>
            <xdr:cNvGraphicFramePr/>
          </xdr:nvGraphicFramePr>
          <xdr:xfrm>
            <a:off x="0" y="0"/>
            <a:ext cx="0" cy="0"/>
          </xdr:xfrm>
          <a:graphic>
            <a:graphicData uri="http://schemas.microsoft.com/office/drawing/2010/slicer">
              <sle:slicer xmlns:sle="http://schemas.microsoft.com/office/drawing/2010/slicer" name="Years (Hire_Date)"/>
            </a:graphicData>
          </a:graphic>
        </xdr:graphicFrame>
      </mc:Choice>
      <mc:Fallback xmlns="">
        <xdr:sp macro="" textlink="">
          <xdr:nvSpPr>
            <xdr:cNvPr id="0" name=""/>
            <xdr:cNvSpPr>
              <a:spLocks noTextEdit="1"/>
            </xdr:cNvSpPr>
          </xdr:nvSpPr>
          <xdr:spPr>
            <a:xfrm>
              <a:off x="4552462" y="0"/>
              <a:ext cx="1801641" cy="2833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midi dhamodara rao" refreshedDate="46073.473369212959" createdVersion="8" refreshedVersion="8" minRefreshableVersion="3" recordCount="200" xr:uid="{2E9CE1FB-8904-4773-9EE1-ABF11D1B0A4E}">
  <cacheSource type="worksheet">
    <worksheetSource name="HR_Analytics_Raw_Data_200_Rows"/>
  </cacheSource>
  <cacheFields count="14">
    <cacheField name="Emp_ID" numFmtId="0">
      <sharedItems containsSemiMixedTypes="0" containsString="0" containsNumber="1" containsInteger="1" minValue="1001" maxValue="1200"/>
    </cacheField>
    <cacheField name="Name" numFmtId="0">
      <sharedItems/>
    </cacheField>
    <cacheField name="Gender" numFmtId="0">
      <sharedItems count="2">
        <s v="Male"/>
        <s v="Female"/>
      </sharedItems>
    </cacheField>
    <cacheField name="Age" numFmtId="0">
      <sharedItems containsSemiMixedTypes="0" containsString="0" containsNumber="1" containsInteger="1" minValue="22" maxValue="45"/>
    </cacheField>
    <cacheField name="Department" numFmtId="0">
      <sharedItems count="6">
        <s v="Marketing"/>
        <s v="IT"/>
        <s v="Sales"/>
        <s v="HR"/>
        <s v="Operations"/>
        <s v="Finance"/>
      </sharedItems>
    </cacheField>
    <cacheField name="Job_Role" numFmtId="0">
      <sharedItems/>
    </cacheField>
    <cacheField name="Salary" numFmtId="0">
      <sharedItems containsSemiMixedTypes="0" containsString="0" containsNumber="1" containsInteger="1" minValue="25013" maxValue="89935" count="200">
        <n v="64388"/>
        <n v="76097"/>
        <n v="30865"/>
        <n v="56410"/>
        <n v="32191"/>
        <n v="47490"/>
        <n v="40104"/>
        <n v="31738"/>
        <n v="55846"/>
        <n v="75190"/>
        <n v="46977"/>
        <n v="42955"/>
        <n v="75266"/>
        <n v="49132"/>
        <n v="71031"/>
        <n v="43581"/>
        <n v="80513"/>
        <n v="27081"/>
        <n v="43332"/>
        <n v="51193"/>
        <n v="50995"/>
        <n v="89601"/>
        <n v="60206"/>
        <n v="56371"/>
        <n v="73888"/>
        <n v="70876"/>
        <n v="66174"/>
        <n v="80920"/>
        <n v="26740"/>
        <n v="32093"/>
        <n v="68163"/>
        <n v="43981"/>
        <n v="45836"/>
        <n v="70043"/>
        <n v="58086"/>
        <n v="37260"/>
        <n v="36804"/>
        <n v="56195"/>
        <n v="71205"/>
        <n v="65378"/>
        <n v="43193"/>
        <n v="33515"/>
        <n v="67240"/>
        <n v="64777"/>
        <n v="59537"/>
        <n v="53844"/>
        <n v="47337"/>
        <n v="64129"/>
        <n v="56578"/>
        <n v="56328"/>
        <n v="38668"/>
        <n v="88773"/>
        <n v="41379"/>
        <n v="74193"/>
        <n v="43625"/>
        <n v="30436"/>
        <n v="31219"/>
        <n v="72754"/>
        <n v="66554"/>
        <n v="36684"/>
        <n v="86753"/>
        <n v="89424"/>
        <n v="68655"/>
        <n v="53748"/>
        <n v="60533"/>
        <n v="33472"/>
        <n v="56329"/>
        <n v="27433"/>
        <n v="56069"/>
        <n v="77229"/>
        <n v="42722"/>
        <n v="36228"/>
        <n v="59930"/>
        <n v="32858"/>
        <n v="50795"/>
        <n v="71189"/>
        <n v="32866"/>
        <n v="70153"/>
        <n v="47502"/>
        <n v="74625"/>
        <n v="62309"/>
        <n v="87705"/>
        <n v="25670"/>
        <n v="65959"/>
        <n v="68069"/>
        <n v="41173"/>
        <n v="83439"/>
        <n v="54668"/>
        <n v="75743"/>
        <n v="50725"/>
        <n v="64078"/>
        <n v="84948"/>
        <n v="84334"/>
        <n v="77812"/>
        <n v="48776"/>
        <n v="34010"/>
        <n v="68144"/>
        <n v="29326"/>
        <n v="59051"/>
        <n v="62509"/>
        <n v="62177"/>
        <n v="65501"/>
        <n v="35237"/>
        <n v="81515"/>
        <n v="65395"/>
        <n v="67100"/>
        <n v="83845"/>
        <n v="85457"/>
        <n v="63230"/>
        <n v="44643"/>
        <n v="32693"/>
        <n v="62171"/>
        <n v="62976"/>
        <n v="74127"/>
        <n v="36944"/>
        <n v="80311"/>
        <n v="79870"/>
        <n v="43355"/>
        <n v="65382"/>
        <n v="63073"/>
        <n v="27261"/>
        <n v="68046"/>
        <n v="43678"/>
        <n v="65770"/>
        <n v="28940"/>
        <n v="81529"/>
        <n v="33439"/>
        <n v="50603"/>
        <n v="32757"/>
        <n v="84244"/>
        <n v="30419"/>
        <n v="57280"/>
        <n v="38173"/>
        <n v="46864"/>
        <n v="74281"/>
        <n v="58136"/>
        <n v="38022"/>
        <n v="89935"/>
        <n v="60918"/>
        <n v="78005"/>
        <n v="87798"/>
        <n v="49860"/>
        <n v="77924"/>
        <n v="75680"/>
        <n v="46505"/>
        <n v="47355"/>
        <n v="39140"/>
        <n v="44322"/>
        <n v="46815"/>
        <n v="83770"/>
        <n v="43866"/>
        <n v="36544"/>
        <n v="53245"/>
        <n v="52800"/>
        <n v="27643"/>
        <n v="80441"/>
        <n v="54027"/>
        <n v="25013"/>
        <n v="29141"/>
        <n v="32417"/>
        <n v="41655"/>
        <n v="81228"/>
        <n v="89582"/>
        <n v="34876"/>
        <n v="76737"/>
        <n v="85560"/>
        <n v="39045"/>
        <n v="66408"/>
        <n v="69744"/>
        <n v="62260"/>
        <n v="73234"/>
        <n v="30240"/>
        <n v="35284"/>
        <n v="33950"/>
        <n v="33772"/>
        <n v="29761"/>
        <n v="76530"/>
        <n v="60894"/>
        <n v="26896"/>
        <n v="35658"/>
        <n v="29461"/>
        <n v="74340"/>
        <n v="53553"/>
        <n v="61068"/>
        <n v="73896"/>
        <n v="66844"/>
        <n v="63403"/>
        <n v="72645"/>
        <n v="86887"/>
        <n v="79745"/>
        <n v="70168"/>
        <n v="64368"/>
        <n v="88866"/>
        <n v="82246"/>
        <n v="64814"/>
        <n v="30476"/>
        <n v="77797"/>
        <n v="70824"/>
        <n v="56967"/>
        <n v="46559"/>
      </sharedItems>
    </cacheField>
    <cacheField name="Hire_Date" numFmtId="14">
      <sharedItems containsSemiMixedTypes="0" containsNonDate="0" containsDate="1" containsString="0" minDate="2018-01-04T00:00:00" maxDate="2024-12-10T00:00:00" count="186">
        <d v="2019-06-20T00:00:00"/>
        <d v="2024-03-05T00:00:00"/>
        <d v="2022-04-16T00:00:00"/>
        <d v="2022-10-30T00:00:00"/>
        <d v="2019-06-29T00:00:00"/>
        <d v="2018-05-03T00:00:00"/>
        <d v="2021-01-01T00:00:00"/>
        <d v="2024-11-22T00:00:00"/>
        <d v="2021-06-11T00:00:00"/>
        <d v="2019-06-07T00:00:00"/>
        <d v="2019-02-03T00:00:00"/>
        <d v="2018-10-23T00:00:00"/>
        <d v="2020-01-12T00:00:00"/>
        <d v="2024-07-15T00:00:00"/>
        <d v="2018-02-10T00:00:00"/>
        <d v="2021-11-03T00:00:00"/>
        <d v="2018-08-07T00:00:00"/>
        <d v="2018-08-12T00:00:00"/>
        <d v="2018-03-19T00:00:00"/>
        <d v="2019-07-01T00:00:00"/>
        <d v="2020-01-28T00:00:00"/>
        <d v="2021-07-20T00:00:00"/>
        <d v="2018-12-26T00:00:00"/>
        <d v="2021-02-08T00:00:00"/>
        <d v="2023-10-13T00:00:00"/>
        <d v="2021-07-26T00:00:00"/>
        <d v="2022-03-19T00:00:00"/>
        <d v="2021-05-28T00:00:00"/>
        <d v="2023-10-29T00:00:00"/>
        <d v="2023-08-29T00:00:00"/>
        <d v="2019-10-19T00:00:00"/>
        <d v="2018-05-30T00:00:00"/>
        <d v="2019-12-20T00:00:00"/>
        <d v="2024-07-22T00:00:00"/>
        <d v="2024-03-21T00:00:00"/>
        <d v="2021-11-22T00:00:00"/>
        <d v="2023-07-18T00:00:00"/>
        <d v="2024-10-27T00:00:00"/>
        <d v="2018-08-29T00:00:00"/>
        <d v="2019-09-03T00:00:00"/>
        <d v="2021-08-17T00:00:00"/>
        <d v="2024-06-05T00:00:00"/>
        <d v="2019-04-08T00:00:00"/>
        <d v="2022-11-14T00:00:00"/>
        <d v="2021-03-30T00:00:00"/>
        <d v="2023-03-06T00:00:00"/>
        <d v="2023-04-25T00:00:00"/>
        <d v="2022-09-28T00:00:00"/>
        <d v="2021-07-22T00:00:00"/>
        <d v="2019-10-23T00:00:00"/>
        <d v="2023-09-17T00:00:00"/>
        <d v="2023-05-22T00:00:00"/>
        <d v="2021-08-04T00:00:00"/>
        <d v="2023-12-02T00:00:00"/>
        <d v="2024-10-19T00:00:00"/>
        <d v="2024-06-09T00:00:00"/>
        <d v="2019-04-12T00:00:00"/>
        <d v="2018-11-06T00:00:00"/>
        <d v="2023-01-22T00:00:00"/>
        <d v="2020-03-21T00:00:00"/>
        <d v="2023-03-25T00:00:00"/>
        <d v="2023-09-25T00:00:00"/>
        <d v="2022-06-02T00:00:00"/>
        <d v="2020-12-31T00:00:00"/>
        <d v="2019-08-06T00:00:00"/>
        <d v="2022-03-02T00:00:00"/>
        <d v="2024-11-13T00:00:00"/>
        <d v="2018-07-05T00:00:00"/>
        <d v="2018-01-04T00:00:00"/>
        <d v="2019-08-05T00:00:00"/>
        <d v="2018-04-17T00:00:00"/>
        <d v="2018-09-23T00:00:00"/>
        <d v="2022-02-24T00:00:00"/>
        <d v="2018-04-08T00:00:00"/>
        <d v="2019-11-21T00:00:00"/>
        <d v="2024-11-07T00:00:00"/>
        <d v="2023-07-22T00:00:00"/>
        <d v="2024-04-04T00:00:00"/>
        <d v="2019-05-21T00:00:00"/>
        <d v="2018-05-27T00:00:00"/>
        <d v="2021-10-02T00:00:00"/>
        <d v="2021-06-07T00:00:00"/>
        <d v="2023-03-02T00:00:00"/>
        <d v="2021-10-14T00:00:00"/>
        <d v="2024-08-22T00:00:00"/>
        <d v="2020-10-15T00:00:00"/>
        <d v="2023-11-18T00:00:00"/>
        <d v="2024-11-18T00:00:00"/>
        <d v="2018-06-08T00:00:00"/>
        <d v="2024-03-06T00:00:00"/>
        <d v="2024-08-21T00:00:00"/>
        <d v="2022-04-07T00:00:00"/>
        <d v="2018-06-14T00:00:00"/>
        <d v="2022-03-01T00:00:00"/>
        <d v="2020-07-08T00:00:00"/>
        <d v="2020-08-28T00:00:00"/>
        <d v="2020-08-26T00:00:00"/>
        <d v="2019-02-02T00:00:00"/>
        <d v="2020-01-13T00:00:00"/>
        <d v="2021-01-15T00:00:00"/>
        <d v="2019-07-22T00:00:00"/>
        <d v="2019-01-19T00:00:00"/>
        <d v="2021-05-23T00:00:00"/>
        <d v="2021-05-31T00:00:00"/>
        <d v="2022-10-26T00:00:00"/>
        <d v="2021-09-15T00:00:00"/>
        <d v="2018-12-05T00:00:00"/>
        <d v="2024-09-22T00:00:00"/>
        <d v="2019-05-20T00:00:00"/>
        <d v="2023-09-28T00:00:00"/>
        <d v="2019-01-10T00:00:00"/>
        <d v="2019-08-04T00:00:00"/>
        <d v="2019-09-08T00:00:00"/>
        <d v="2022-11-04T00:00:00"/>
        <d v="2018-12-17T00:00:00"/>
        <d v="2023-01-19T00:00:00"/>
        <d v="2023-04-28T00:00:00"/>
        <d v="2023-08-09T00:00:00"/>
        <d v="2018-04-26T00:00:00"/>
        <d v="2021-11-06T00:00:00"/>
        <d v="2022-05-21T00:00:00"/>
        <d v="2019-12-12T00:00:00"/>
        <d v="2019-05-19T00:00:00"/>
        <d v="2020-01-09T00:00:00"/>
        <d v="2020-02-18T00:00:00"/>
        <d v="2019-05-09T00:00:00"/>
        <d v="2018-03-02T00:00:00"/>
        <d v="2020-12-07T00:00:00"/>
        <d v="2019-08-26T00:00:00"/>
        <d v="2020-08-30T00:00:00"/>
        <d v="2021-01-09T00:00:00"/>
        <d v="2018-06-13T00:00:00"/>
        <d v="2019-10-14T00:00:00"/>
        <d v="2021-08-30T00:00:00"/>
        <d v="2024-09-28T00:00:00"/>
        <d v="2021-02-07T00:00:00"/>
        <d v="2023-09-12T00:00:00"/>
        <d v="2022-11-17T00:00:00"/>
        <d v="2021-02-18T00:00:00"/>
        <d v="2020-05-11T00:00:00"/>
        <d v="2024-09-14T00:00:00"/>
        <d v="2019-06-27T00:00:00"/>
        <d v="2022-01-14T00:00:00"/>
        <d v="2022-10-25T00:00:00"/>
        <d v="2020-05-23T00:00:00"/>
        <d v="2018-03-03T00:00:00"/>
        <d v="2020-02-27T00:00:00"/>
        <d v="2019-01-31T00:00:00"/>
        <d v="2023-03-15T00:00:00"/>
        <d v="2024-05-18T00:00:00"/>
        <d v="2023-12-24T00:00:00"/>
        <d v="2021-06-08T00:00:00"/>
        <d v="2018-11-24T00:00:00"/>
        <d v="2018-09-13T00:00:00"/>
        <d v="2018-03-17T00:00:00"/>
        <d v="2022-03-18T00:00:00"/>
        <d v="2022-02-03T00:00:00"/>
        <d v="2023-09-13T00:00:00"/>
        <d v="2020-08-20T00:00:00"/>
        <d v="2024-06-07T00:00:00"/>
        <d v="2023-08-30T00:00:00"/>
        <d v="2018-10-28T00:00:00"/>
        <d v="2019-02-15T00:00:00"/>
        <d v="2020-07-27T00:00:00"/>
        <d v="2022-02-20T00:00:00"/>
        <d v="2024-04-09T00:00:00"/>
        <d v="2022-08-12T00:00:00"/>
        <d v="2018-04-10T00:00:00"/>
        <d v="2022-10-24T00:00:00"/>
        <d v="2020-10-19T00:00:00"/>
        <d v="2024-12-09T00:00:00"/>
        <d v="2024-06-28T00:00:00"/>
        <d v="2019-09-04T00:00:00"/>
        <d v="2024-09-05T00:00:00"/>
        <d v="2020-03-10T00:00:00"/>
        <d v="2023-08-16T00:00:00"/>
        <d v="2019-12-15T00:00:00"/>
        <d v="2019-12-23T00:00:00"/>
        <d v="2019-10-16T00:00:00"/>
        <d v="2018-03-25T00:00:00"/>
        <d v="2018-12-12T00:00:00"/>
        <d v="2022-03-31T00:00:00"/>
        <d v="2021-05-15T00:00:00"/>
        <d v="2024-08-23T00:00:00"/>
        <d v="2024-01-22T00:00:00"/>
        <d v="2021-12-14T00:00:00"/>
      </sharedItems>
      <fieldGroup par="13"/>
    </cacheField>
    <cacheField name="Attrition" numFmtId="0">
      <sharedItems count="2">
        <s v="No"/>
        <s v="Yes"/>
      </sharedItems>
    </cacheField>
    <cacheField name="Experience" numFmtId="0">
      <sharedItems containsSemiMixedTypes="0" containsString="0" containsNumber="1" containsInteger="1" minValue="1" maxValue="15"/>
    </cacheField>
    <cacheField name="Performance_Rating" numFmtId="0">
      <sharedItems containsSemiMixedTypes="0" containsString="0" containsNumber="1" containsInteger="1" minValue="2" maxValue="5"/>
    </cacheField>
    <cacheField name="Months (Hire_Date)" numFmtId="0" databaseField="0">
      <fieldGroup base="7">
        <rangePr groupBy="months" startDate="2018-01-04T00:00:00" endDate="2024-12-10T00:00:00"/>
        <groupItems count="14">
          <s v="&lt;04-01-2018"/>
          <s v="Jan"/>
          <s v="Feb"/>
          <s v="Mar"/>
          <s v="Apr"/>
          <s v="May"/>
          <s v="Jun"/>
          <s v="Jul"/>
          <s v="Aug"/>
          <s v="Sep"/>
          <s v="Oct"/>
          <s v="Nov"/>
          <s v="Dec"/>
          <s v="&gt;10-12-2024"/>
        </groupItems>
      </fieldGroup>
    </cacheField>
    <cacheField name="Quarters (Hire_Date)" numFmtId="0" databaseField="0">
      <fieldGroup base="7">
        <rangePr groupBy="quarters" startDate="2018-01-04T00:00:00" endDate="2024-12-10T00:00:00"/>
        <groupItems count="6">
          <s v="&lt;04-01-2018"/>
          <s v="Qtr1"/>
          <s v="Qtr2"/>
          <s v="Qtr3"/>
          <s v="Qtr4"/>
          <s v="&gt;10-12-2024"/>
        </groupItems>
      </fieldGroup>
    </cacheField>
    <cacheField name="Years (Hire_Date)" numFmtId="0" databaseField="0">
      <fieldGroup base="7">
        <rangePr groupBy="years" startDate="2018-01-04T00:00:00" endDate="2024-12-10T00:00:00"/>
        <groupItems count="9">
          <s v="&lt;04-01-2018"/>
          <s v="2018"/>
          <s v="2019"/>
          <s v="2020"/>
          <s v="2021"/>
          <s v="2022"/>
          <s v="2023"/>
          <s v="2024"/>
          <s v="&gt;10-12-2024"/>
        </groupItems>
      </fieldGroup>
    </cacheField>
  </cacheFields>
  <extLst>
    <ext xmlns:x14="http://schemas.microsoft.com/office/spreadsheetml/2009/9/main" uri="{725AE2AE-9491-48be-B2B4-4EB974FC3084}">
      <x14:pivotCacheDefinition pivotCacheId="1407826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01"/>
    <s v="Sneha"/>
    <x v="0"/>
    <n v="35"/>
    <x v="0"/>
    <s v="SEO Specialist"/>
    <x v="0"/>
    <x v="0"/>
    <x v="0"/>
    <n v="5"/>
    <n v="3"/>
  </r>
  <r>
    <n v="1002"/>
    <s v="Arjun"/>
    <x v="1"/>
    <n v="30"/>
    <x v="1"/>
    <s v="Tester"/>
    <x v="1"/>
    <x v="1"/>
    <x v="0"/>
    <n v="8"/>
    <n v="5"/>
  </r>
  <r>
    <n v="1003"/>
    <s v="Romeo"/>
    <x v="0"/>
    <n v="30"/>
    <x v="2"/>
    <s v="Sales Manager"/>
    <x v="2"/>
    <x v="2"/>
    <x v="0"/>
    <n v="10"/>
    <n v="4"/>
  </r>
  <r>
    <n v="1004"/>
    <s v="Suresh"/>
    <x v="1"/>
    <n v="29"/>
    <x v="3"/>
    <s v="HR Executive"/>
    <x v="3"/>
    <x v="3"/>
    <x v="0"/>
    <n v="14"/>
    <n v="2"/>
  </r>
  <r>
    <n v="1005"/>
    <s v="Vikram"/>
    <x v="1"/>
    <n v="39"/>
    <x v="1"/>
    <s v="Tester"/>
    <x v="4"/>
    <x v="4"/>
    <x v="0"/>
    <n v="1"/>
    <n v="5"/>
  </r>
  <r>
    <n v="1006"/>
    <s v="Vikram"/>
    <x v="0"/>
    <n v="32"/>
    <x v="1"/>
    <s v="System Admin"/>
    <x v="5"/>
    <x v="5"/>
    <x v="0"/>
    <n v="12"/>
    <n v="4"/>
  </r>
  <r>
    <n v="1007"/>
    <s v="Ravi"/>
    <x v="0"/>
    <n v="38"/>
    <x v="2"/>
    <s v="Sales Manager"/>
    <x v="6"/>
    <x v="6"/>
    <x v="0"/>
    <n v="10"/>
    <n v="5"/>
  </r>
  <r>
    <n v="1008"/>
    <s v="Nikhil"/>
    <x v="1"/>
    <n v="26"/>
    <x v="3"/>
    <s v="HR Executive"/>
    <x v="7"/>
    <x v="7"/>
    <x v="0"/>
    <n v="15"/>
    <n v="2"/>
  </r>
  <r>
    <n v="1009"/>
    <s v="Divya"/>
    <x v="1"/>
    <n v="41"/>
    <x v="1"/>
    <s v="System Admin"/>
    <x v="8"/>
    <x v="8"/>
    <x v="0"/>
    <n v="12"/>
    <n v="5"/>
  </r>
  <r>
    <n v="1010"/>
    <s v="Lakshmi"/>
    <x v="1"/>
    <n v="39"/>
    <x v="2"/>
    <s v="Sales Executive"/>
    <x v="9"/>
    <x v="9"/>
    <x v="1"/>
    <n v="10"/>
    <n v="4"/>
  </r>
  <r>
    <n v="1011"/>
    <s v="Divya"/>
    <x v="0"/>
    <n v="38"/>
    <x v="2"/>
    <s v="Sales Manager"/>
    <x v="10"/>
    <x v="10"/>
    <x v="1"/>
    <n v="10"/>
    <n v="5"/>
  </r>
  <r>
    <n v="1012"/>
    <s v="Romeo"/>
    <x v="1"/>
    <n v="28"/>
    <x v="4"/>
    <s v="Coordinator"/>
    <x v="11"/>
    <x v="11"/>
    <x v="1"/>
    <n v="5"/>
    <n v="2"/>
  </r>
  <r>
    <n v="1013"/>
    <s v="Swathi"/>
    <x v="0"/>
    <n v="31"/>
    <x v="1"/>
    <s v="Developer"/>
    <x v="12"/>
    <x v="12"/>
    <x v="0"/>
    <n v="10"/>
    <n v="2"/>
  </r>
  <r>
    <n v="1014"/>
    <s v="Divya"/>
    <x v="0"/>
    <n v="35"/>
    <x v="0"/>
    <s v="Marketing Executive"/>
    <x v="13"/>
    <x v="13"/>
    <x v="0"/>
    <n v="15"/>
    <n v="4"/>
  </r>
  <r>
    <n v="1015"/>
    <s v="Arjun"/>
    <x v="1"/>
    <n v="35"/>
    <x v="1"/>
    <s v="Data Analyst"/>
    <x v="14"/>
    <x v="14"/>
    <x v="1"/>
    <n v="13"/>
    <n v="4"/>
  </r>
  <r>
    <n v="1016"/>
    <s v="Suresh"/>
    <x v="1"/>
    <n v="31"/>
    <x v="2"/>
    <s v="Sales Executive"/>
    <x v="15"/>
    <x v="15"/>
    <x v="0"/>
    <n v="14"/>
    <n v="4"/>
  </r>
  <r>
    <n v="1017"/>
    <s v="Suresh"/>
    <x v="0"/>
    <n v="27"/>
    <x v="0"/>
    <s v="SEO Specialist"/>
    <x v="16"/>
    <x v="16"/>
    <x v="0"/>
    <n v="11"/>
    <n v="4"/>
  </r>
  <r>
    <n v="1018"/>
    <s v="Teja"/>
    <x v="0"/>
    <n v="45"/>
    <x v="1"/>
    <s v="Developer"/>
    <x v="17"/>
    <x v="17"/>
    <x v="0"/>
    <n v="13"/>
    <n v="3"/>
  </r>
  <r>
    <n v="1019"/>
    <s v="Priya"/>
    <x v="0"/>
    <n v="44"/>
    <x v="5"/>
    <s v="Accountant"/>
    <x v="18"/>
    <x v="18"/>
    <x v="0"/>
    <n v="11"/>
    <n v="3"/>
  </r>
  <r>
    <n v="1020"/>
    <s v="Anjali"/>
    <x v="0"/>
    <n v="38"/>
    <x v="2"/>
    <s v="Sales Manager"/>
    <x v="19"/>
    <x v="19"/>
    <x v="0"/>
    <n v="11"/>
    <n v="5"/>
  </r>
  <r>
    <n v="1021"/>
    <s v="Rahul"/>
    <x v="0"/>
    <n v="24"/>
    <x v="2"/>
    <s v="Sales Manager"/>
    <x v="20"/>
    <x v="20"/>
    <x v="1"/>
    <n v="15"/>
    <n v="2"/>
  </r>
  <r>
    <n v="1022"/>
    <s v="Romeo"/>
    <x v="0"/>
    <n v="32"/>
    <x v="4"/>
    <s v="Operations Manager"/>
    <x v="21"/>
    <x v="21"/>
    <x v="0"/>
    <n v="3"/>
    <n v="4"/>
  </r>
  <r>
    <n v="1023"/>
    <s v="Romeo"/>
    <x v="1"/>
    <n v="28"/>
    <x v="5"/>
    <s v="Financial Analyst"/>
    <x v="22"/>
    <x v="22"/>
    <x v="1"/>
    <n v="12"/>
    <n v="3"/>
  </r>
  <r>
    <n v="1024"/>
    <s v="Vikram"/>
    <x v="1"/>
    <n v="29"/>
    <x v="3"/>
    <s v="HR Executive"/>
    <x v="23"/>
    <x v="23"/>
    <x v="0"/>
    <n v="4"/>
    <n v="3"/>
  </r>
  <r>
    <n v="1025"/>
    <s v="Romeo"/>
    <x v="1"/>
    <n v="44"/>
    <x v="2"/>
    <s v="Sales Executive"/>
    <x v="24"/>
    <x v="24"/>
    <x v="0"/>
    <n v="10"/>
    <n v="2"/>
  </r>
  <r>
    <n v="1026"/>
    <s v="Kiran"/>
    <x v="0"/>
    <n v="28"/>
    <x v="2"/>
    <s v="Sales Executive"/>
    <x v="25"/>
    <x v="25"/>
    <x v="0"/>
    <n v="14"/>
    <n v="5"/>
  </r>
  <r>
    <n v="1027"/>
    <s v="Srinu"/>
    <x v="0"/>
    <n v="39"/>
    <x v="1"/>
    <s v="Data Analyst"/>
    <x v="26"/>
    <x v="26"/>
    <x v="0"/>
    <n v="13"/>
    <n v="5"/>
  </r>
  <r>
    <n v="1028"/>
    <s v="Srinu"/>
    <x v="1"/>
    <n v="42"/>
    <x v="2"/>
    <s v="Sales Executive"/>
    <x v="27"/>
    <x v="27"/>
    <x v="0"/>
    <n v="8"/>
    <n v="2"/>
  </r>
  <r>
    <n v="1029"/>
    <s v="Romeo"/>
    <x v="0"/>
    <n v="26"/>
    <x v="5"/>
    <s v="Accountant"/>
    <x v="28"/>
    <x v="28"/>
    <x v="0"/>
    <n v="1"/>
    <n v="5"/>
  </r>
  <r>
    <n v="1030"/>
    <s v="Anjali"/>
    <x v="1"/>
    <n v="41"/>
    <x v="0"/>
    <s v="Marketing Executive"/>
    <x v="29"/>
    <x v="29"/>
    <x v="0"/>
    <n v="15"/>
    <n v="5"/>
  </r>
  <r>
    <n v="1031"/>
    <s v="Divya"/>
    <x v="1"/>
    <n v="33"/>
    <x v="5"/>
    <s v="Accountant"/>
    <x v="30"/>
    <x v="30"/>
    <x v="0"/>
    <n v="3"/>
    <n v="5"/>
  </r>
  <r>
    <n v="1032"/>
    <s v="Lakshmi"/>
    <x v="1"/>
    <n v="33"/>
    <x v="3"/>
    <s v="Recruiter"/>
    <x v="31"/>
    <x v="31"/>
    <x v="0"/>
    <n v="2"/>
    <n v="2"/>
  </r>
  <r>
    <n v="1033"/>
    <s v="Vikram"/>
    <x v="0"/>
    <n v="29"/>
    <x v="2"/>
    <s v="Sales Executive"/>
    <x v="32"/>
    <x v="32"/>
    <x v="0"/>
    <n v="6"/>
    <n v="2"/>
  </r>
  <r>
    <n v="1034"/>
    <s v="Arjun"/>
    <x v="0"/>
    <n v="43"/>
    <x v="1"/>
    <s v="Tester"/>
    <x v="33"/>
    <x v="33"/>
    <x v="1"/>
    <n v="5"/>
    <n v="5"/>
  </r>
  <r>
    <n v="1035"/>
    <s v="Meena"/>
    <x v="1"/>
    <n v="42"/>
    <x v="0"/>
    <s v="SEO Specialist"/>
    <x v="34"/>
    <x v="34"/>
    <x v="0"/>
    <n v="4"/>
    <n v="4"/>
  </r>
  <r>
    <n v="1036"/>
    <s v="Kiran"/>
    <x v="1"/>
    <n v="25"/>
    <x v="2"/>
    <s v="Sales Executive"/>
    <x v="35"/>
    <x v="35"/>
    <x v="0"/>
    <n v="1"/>
    <n v="4"/>
  </r>
  <r>
    <n v="1037"/>
    <s v="Lakshmi"/>
    <x v="1"/>
    <n v="34"/>
    <x v="4"/>
    <s v="Coordinator"/>
    <x v="36"/>
    <x v="36"/>
    <x v="0"/>
    <n v="4"/>
    <n v="4"/>
  </r>
  <r>
    <n v="1038"/>
    <s v="Pooja"/>
    <x v="0"/>
    <n v="43"/>
    <x v="4"/>
    <s v="Coordinator"/>
    <x v="37"/>
    <x v="37"/>
    <x v="0"/>
    <n v="3"/>
    <n v="3"/>
  </r>
  <r>
    <n v="1039"/>
    <s v="Nikhil"/>
    <x v="1"/>
    <n v="22"/>
    <x v="2"/>
    <s v="Sales Executive"/>
    <x v="38"/>
    <x v="38"/>
    <x v="0"/>
    <n v="12"/>
    <n v="4"/>
  </r>
  <r>
    <n v="1040"/>
    <s v="Swathi"/>
    <x v="0"/>
    <n v="39"/>
    <x v="5"/>
    <s v="Financial Analyst"/>
    <x v="39"/>
    <x v="39"/>
    <x v="0"/>
    <n v="1"/>
    <n v="3"/>
  </r>
  <r>
    <n v="1041"/>
    <s v="Sneha"/>
    <x v="1"/>
    <n v="35"/>
    <x v="3"/>
    <s v="HR Executive"/>
    <x v="40"/>
    <x v="40"/>
    <x v="0"/>
    <n v="7"/>
    <n v="5"/>
  </r>
  <r>
    <n v="1042"/>
    <s v="Suresh"/>
    <x v="1"/>
    <n v="22"/>
    <x v="2"/>
    <s v="Sales Executive"/>
    <x v="41"/>
    <x v="41"/>
    <x v="0"/>
    <n v="7"/>
    <n v="5"/>
  </r>
  <r>
    <n v="1043"/>
    <s v="Teja"/>
    <x v="0"/>
    <n v="30"/>
    <x v="3"/>
    <s v="Recruiter"/>
    <x v="42"/>
    <x v="42"/>
    <x v="1"/>
    <n v="10"/>
    <n v="3"/>
  </r>
  <r>
    <n v="1044"/>
    <s v="Teja"/>
    <x v="0"/>
    <n v="33"/>
    <x v="2"/>
    <s v="Sales Manager"/>
    <x v="43"/>
    <x v="43"/>
    <x v="0"/>
    <n v="6"/>
    <n v="5"/>
  </r>
  <r>
    <n v="1045"/>
    <s v="Romeo"/>
    <x v="1"/>
    <n v="32"/>
    <x v="2"/>
    <s v="Sales Executive"/>
    <x v="44"/>
    <x v="44"/>
    <x v="1"/>
    <n v="11"/>
    <n v="4"/>
  </r>
  <r>
    <n v="1046"/>
    <s v="Suresh"/>
    <x v="1"/>
    <n v="35"/>
    <x v="1"/>
    <s v="System Admin"/>
    <x v="45"/>
    <x v="45"/>
    <x v="1"/>
    <n v="9"/>
    <n v="4"/>
  </r>
  <r>
    <n v="1047"/>
    <s v="Divya"/>
    <x v="1"/>
    <n v="32"/>
    <x v="3"/>
    <s v="HR Executive"/>
    <x v="46"/>
    <x v="46"/>
    <x v="0"/>
    <n v="4"/>
    <n v="5"/>
  </r>
  <r>
    <n v="1048"/>
    <s v="Rahul"/>
    <x v="1"/>
    <n v="22"/>
    <x v="4"/>
    <s v="Operations Manager"/>
    <x v="47"/>
    <x v="47"/>
    <x v="0"/>
    <n v="4"/>
    <n v="3"/>
  </r>
  <r>
    <n v="1049"/>
    <s v="Swathi"/>
    <x v="0"/>
    <n v="30"/>
    <x v="4"/>
    <s v="Coordinator"/>
    <x v="48"/>
    <x v="48"/>
    <x v="0"/>
    <n v="7"/>
    <n v="3"/>
  </r>
  <r>
    <n v="1050"/>
    <s v="Teja"/>
    <x v="1"/>
    <n v="30"/>
    <x v="4"/>
    <s v="Coordinator"/>
    <x v="49"/>
    <x v="9"/>
    <x v="1"/>
    <n v="9"/>
    <n v="5"/>
  </r>
  <r>
    <n v="1051"/>
    <s v="Teja"/>
    <x v="0"/>
    <n v="24"/>
    <x v="3"/>
    <s v="Recruiter"/>
    <x v="50"/>
    <x v="49"/>
    <x v="0"/>
    <n v="3"/>
    <n v="5"/>
  </r>
  <r>
    <n v="1052"/>
    <s v="Swathi"/>
    <x v="0"/>
    <n v="37"/>
    <x v="1"/>
    <s v="Developer"/>
    <x v="51"/>
    <x v="50"/>
    <x v="0"/>
    <n v="8"/>
    <n v="5"/>
  </r>
  <r>
    <n v="1053"/>
    <s v="Nikhil"/>
    <x v="0"/>
    <n v="30"/>
    <x v="5"/>
    <s v="Financial Analyst"/>
    <x v="52"/>
    <x v="51"/>
    <x v="0"/>
    <n v="2"/>
    <n v="2"/>
  </r>
  <r>
    <n v="1054"/>
    <s v="Bhargavi"/>
    <x v="1"/>
    <n v="23"/>
    <x v="4"/>
    <s v="Operations Manager"/>
    <x v="53"/>
    <x v="52"/>
    <x v="0"/>
    <n v="14"/>
    <n v="4"/>
  </r>
  <r>
    <n v="1055"/>
    <s v="Nikhil"/>
    <x v="0"/>
    <n v="37"/>
    <x v="1"/>
    <s v="Data Analyst"/>
    <x v="54"/>
    <x v="53"/>
    <x v="0"/>
    <n v="13"/>
    <n v="5"/>
  </r>
  <r>
    <n v="1056"/>
    <s v="Divya"/>
    <x v="0"/>
    <n v="22"/>
    <x v="0"/>
    <s v="SEO Specialist"/>
    <x v="55"/>
    <x v="54"/>
    <x v="0"/>
    <n v="5"/>
    <n v="5"/>
  </r>
  <r>
    <n v="1057"/>
    <s v="Pooja"/>
    <x v="0"/>
    <n v="42"/>
    <x v="2"/>
    <s v="Sales Executive"/>
    <x v="56"/>
    <x v="55"/>
    <x v="1"/>
    <n v="5"/>
    <n v="3"/>
  </r>
  <r>
    <n v="1058"/>
    <s v="Rahul"/>
    <x v="1"/>
    <n v="32"/>
    <x v="5"/>
    <s v="Accountant"/>
    <x v="57"/>
    <x v="56"/>
    <x v="0"/>
    <n v="9"/>
    <n v="3"/>
  </r>
  <r>
    <n v="1059"/>
    <s v="Priya"/>
    <x v="1"/>
    <n v="40"/>
    <x v="2"/>
    <s v="Sales Executive"/>
    <x v="58"/>
    <x v="57"/>
    <x v="0"/>
    <n v="7"/>
    <n v="4"/>
  </r>
  <r>
    <n v="1060"/>
    <s v="Meena"/>
    <x v="0"/>
    <n v="26"/>
    <x v="5"/>
    <s v="Financial Analyst"/>
    <x v="59"/>
    <x v="58"/>
    <x v="0"/>
    <n v="15"/>
    <n v="5"/>
  </r>
  <r>
    <n v="1061"/>
    <s v="Meena"/>
    <x v="0"/>
    <n v="40"/>
    <x v="3"/>
    <s v="HR Executive"/>
    <x v="60"/>
    <x v="59"/>
    <x v="1"/>
    <n v="11"/>
    <n v="4"/>
  </r>
  <r>
    <n v="1062"/>
    <s v="Vikram"/>
    <x v="0"/>
    <n v="32"/>
    <x v="1"/>
    <s v="Data Analyst"/>
    <x v="61"/>
    <x v="60"/>
    <x v="0"/>
    <n v="2"/>
    <n v="3"/>
  </r>
  <r>
    <n v="1063"/>
    <s v="Anjali"/>
    <x v="1"/>
    <n v="31"/>
    <x v="3"/>
    <s v="Recruiter"/>
    <x v="62"/>
    <x v="61"/>
    <x v="1"/>
    <n v="1"/>
    <n v="2"/>
  </r>
  <r>
    <n v="1064"/>
    <s v="Ravi"/>
    <x v="1"/>
    <n v="31"/>
    <x v="3"/>
    <s v="HR Executive"/>
    <x v="63"/>
    <x v="62"/>
    <x v="0"/>
    <n v="14"/>
    <n v="3"/>
  </r>
  <r>
    <n v="1065"/>
    <s v="Priya"/>
    <x v="1"/>
    <n v="29"/>
    <x v="2"/>
    <s v="Sales Executive"/>
    <x v="64"/>
    <x v="9"/>
    <x v="1"/>
    <n v="2"/>
    <n v="4"/>
  </r>
  <r>
    <n v="1066"/>
    <s v="Pooja"/>
    <x v="0"/>
    <n v="28"/>
    <x v="2"/>
    <s v="Sales Executive"/>
    <x v="65"/>
    <x v="63"/>
    <x v="0"/>
    <n v="11"/>
    <n v="5"/>
  </r>
  <r>
    <n v="1067"/>
    <s v="Arjun"/>
    <x v="0"/>
    <n v="27"/>
    <x v="3"/>
    <s v="Recruiter"/>
    <x v="66"/>
    <x v="64"/>
    <x v="0"/>
    <n v="2"/>
    <n v="4"/>
  </r>
  <r>
    <n v="1068"/>
    <s v="Suresh"/>
    <x v="1"/>
    <n v="42"/>
    <x v="3"/>
    <s v="HR Executive"/>
    <x v="67"/>
    <x v="65"/>
    <x v="0"/>
    <n v="14"/>
    <n v="5"/>
  </r>
  <r>
    <n v="1069"/>
    <s v="Meena"/>
    <x v="1"/>
    <n v="26"/>
    <x v="0"/>
    <s v="Marketing Executive"/>
    <x v="68"/>
    <x v="22"/>
    <x v="1"/>
    <n v="12"/>
    <n v="4"/>
  </r>
  <r>
    <n v="1070"/>
    <s v="Bhargavi"/>
    <x v="1"/>
    <n v="42"/>
    <x v="4"/>
    <s v="Operations Manager"/>
    <x v="69"/>
    <x v="66"/>
    <x v="0"/>
    <n v="2"/>
    <n v="4"/>
  </r>
  <r>
    <n v="1071"/>
    <s v="Suresh"/>
    <x v="1"/>
    <n v="22"/>
    <x v="1"/>
    <s v="System Admin"/>
    <x v="70"/>
    <x v="67"/>
    <x v="0"/>
    <n v="11"/>
    <n v="3"/>
  </r>
  <r>
    <n v="1072"/>
    <s v="Arjun"/>
    <x v="1"/>
    <n v="31"/>
    <x v="1"/>
    <s v="System Admin"/>
    <x v="71"/>
    <x v="68"/>
    <x v="0"/>
    <n v="4"/>
    <n v="4"/>
  </r>
  <r>
    <n v="1073"/>
    <s v="Nikhil"/>
    <x v="1"/>
    <n v="42"/>
    <x v="1"/>
    <s v="Tester"/>
    <x v="72"/>
    <x v="69"/>
    <x v="0"/>
    <n v="11"/>
    <n v="4"/>
  </r>
  <r>
    <n v="1074"/>
    <s v="Priya"/>
    <x v="1"/>
    <n v="45"/>
    <x v="2"/>
    <s v="Sales Manager"/>
    <x v="73"/>
    <x v="70"/>
    <x v="0"/>
    <n v="14"/>
    <n v="4"/>
  </r>
  <r>
    <n v="1075"/>
    <s v="Sneha"/>
    <x v="1"/>
    <n v="43"/>
    <x v="0"/>
    <s v="Marketing Executive"/>
    <x v="74"/>
    <x v="71"/>
    <x v="0"/>
    <n v="15"/>
    <n v="4"/>
  </r>
  <r>
    <n v="1076"/>
    <s v="Rahul"/>
    <x v="0"/>
    <n v="30"/>
    <x v="1"/>
    <s v="Data Analyst"/>
    <x v="75"/>
    <x v="72"/>
    <x v="0"/>
    <n v="9"/>
    <n v="2"/>
  </r>
  <r>
    <n v="1077"/>
    <s v="Nikhil"/>
    <x v="0"/>
    <n v="40"/>
    <x v="1"/>
    <s v="Data Analyst"/>
    <x v="76"/>
    <x v="73"/>
    <x v="0"/>
    <n v="15"/>
    <n v="2"/>
  </r>
  <r>
    <n v="1078"/>
    <s v="Sneha"/>
    <x v="0"/>
    <n v="44"/>
    <x v="1"/>
    <s v="System Admin"/>
    <x v="77"/>
    <x v="74"/>
    <x v="0"/>
    <n v="9"/>
    <n v="4"/>
  </r>
  <r>
    <n v="1079"/>
    <s v="Priya"/>
    <x v="1"/>
    <n v="37"/>
    <x v="5"/>
    <s v="Financial Analyst"/>
    <x v="78"/>
    <x v="75"/>
    <x v="0"/>
    <n v="9"/>
    <n v="5"/>
  </r>
  <r>
    <n v="1080"/>
    <s v="Swathi"/>
    <x v="0"/>
    <n v="25"/>
    <x v="1"/>
    <s v="System Admin"/>
    <x v="79"/>
    <x v="76"/>
    <x v="0"/>
    <n v="11"/>
    <n v="5"/>
  </r>
  <r>
    <n v="1081"/>
    <s v="Anjali"/>
    <x v="1"/>
    <n v="42"/>
    <x v="3"/>
    <s v="HR Executive"/>
    <x v="80"/>
    <x v="77"/>
    <x v="0"/>
    <n v="9"/>
    <n v="3"/>
  </r>
  <r>
    <n v="1082"/>
    <s v="Pooja"/>
    <x v="1"/>
    <n v="34"/>
    <x v="5"/>
    <s v="Financial Analyst"/>
    <x v="81"/>
    <x v="78"/>
    <x v="0"/>
    <n v="11"/>
    <n v="4"/>
  </r>
  <r>
    <n v="1083"/>
    <s v="Srinu"/>
    <x v="1"/>
    <n v="22"/>
    <x v="5"/>
    <s v="Accountant"/>
    <x v="82"/>
    <x v="18"/>
    <x v="0"/>
    <n v="6"/>
    <n v="4"/>
  </r>
  <r>
    <n v="1084"/>
    <s v="Swathi"/>
    <x v="1"/>
    <n v="35"/>
    <x v="2"/>
    <s v="Sales Executive"/>
    <x v="83"/>
    <x v="79"/>
    <x v="1"/>
    <n v="6"/>
    <n v="4"/>
  </r>
  <r>
    <n v="1085"/>
    <s v="Priya"/>
    <x v="1"/>
    <n v="40"/>
    <x v="4"/>
    <s v="Operations Manager"/>
    <x v="84"/>
    <x v="80"/>
    <x v="0"/>
    <n v="1"/>
    <n v="4"/>
  </r>
  <r>
    <n v="1086"/>
    <s v="Srinu"/>
    <x v="1"/>
    <n v="33"/>
    <x v="2"/>
    <s v="Sales Manager"/>
    <x v="85"/>
    <x v="81"/>
    <x v="0"/>
    <n v="15"/>
    <n v="4"/>
  </r>
  <r>
    <n v="1087"/>
    <s v="Lakshmi"/>
    <x v="0"/>
    <n v="41"/>
    <x v="2"/>
    <s v="Sales Executive"/>
    <x v="86"/>
    <x v="82"/>
    <x v="0"/>
    <n v="2"/>
    <n v="5"/>
  </r>
  <r>
    <n v="1088"/>
    <s v="Sneha"/>
    <x v="0"/>
    <n v="38"/>
    <x v="5"/>
    <s v="Accountant"/>
    <x v="87"/>
    <x v="83"/>
    <x v="0"/>
    <n v="5"/>
    <n v="3"/>
  </r>
  <r>
    <n v="1089"/>
    <s v="Nikhil"/>
    <x v="0"/>
    <n v="27"/>
    <x v="3"/>
    <s v="HR Executive"/>
    <x v="88"/>
    <x v="84"/>
    <x v="1"/>
    <n v="5"/>
    <n v="4"/>
  </r>
  <r>
    <n v="1090"/>
    <s v="Anjali"/>
    <x v="1"/>
    <n v="31"/>
    <x v="0"/>
    <s v="SEO Specialist"/>
    <x v="89"/>
    <x v="85"/>
    <x v="1"/>
    <n v="5"/>
    <n v="2"/>
  </r>
  <r>
    <n v="1091"/>
    <s v="Sneha"/>
    <x v="0"/>
    <n v="24"/>
    <x v="2"/>
    <s v="Sales Executive"/>
    <x v="90"/>
    <x v="86"/>
    <x v="1"/>
    <n v="7"/>
    <n v="5"/>
  </r>
  <r>
    <n v="1092"/>
    <s v="Arjun"/>
    <x v="1"/>
    <n v="35"/>
    <x v="0"/>
    <s v="SEO Specialist"/>
    <x v="91"/>
    <x v="87"/>
    <x v="1"/>
    <n v="7"/>
    <n v="3"/>
  </r>
  <r>
    <n v="1093"/>
    <s v="Priya"/>
    <x v="1"/>
    <n v="36"/>
    <x v="4"/>
    <s v="Coordinator"/>
    <x v="92"/>
    <x v="88"/>
    <x v="0"/>
    <n v="11"/>
    <n v="5"/>
  </r>
  <r>
    <n v="1094"/>
    <s v="Nikhil"/>
    <x v="1"/>
    <n v="40"/>
    <x v="2"/>
    <s v="Sales Executive"/>
    <x v="93"/>
    <x v="89"/>
    <x v="0"/>
    <n v="12"/>
    <n v="2"/>
  </r>
  <r>
    <n v="1095"/>
    <s v="Swathi"/>
    <x v="1"/>
    <n v="33"/>
    <x v="1"/>
    <s v="Tester"/>
    <x v="94"/>
    <x v="90"/>
    <x v="0"/>
    <n v="9"/>
    <n v="3"/>
  </r>
  <r>
    <n v="1096"/>
    <s v="Suresh"/>
    <x v="0"/>
    <n v="31"/>
    <x v="2"/>
    <s v="Sales Manager"/>
    <x v="95"/>
    <x v="91"/>
    <x v="0"/>
    <n v="10"/>
    <n v="2"/>
  </r>
  <r>
    <n v="1097"/>
    <s v="Srinu"/>
    <x v="0"/>
    <n v="26"/>
    <x v="4"/>
    <s v="Coordinator"/>
    <x v="96"/>
    <x v="92"/>
    <x v="1"/>
    <n v="3"/>
    <n v="2"/>
  </r>
  <r>
    <n v="1098"/>
    <s v="Sneha"/>
    <x v="1"/>
    <n v="33"/>
    <x v="5"/>
    <s v="Financial Analyst"/>
    <x v="97"/>
    <x v="93"/>
    <x v="0"/>
    <n v="11"/>
    <n v="2"/>
  </r>
  <r>
    <n v="1099"/>
    <s v="Rahul"/>
    <x v="1"/>
    <n v="43"/>
    <x v="1"/>
    <s v="Data Analyst"/>
    <x v="98"/>
    <x v="94"/>
    <x v="0"/>
    <n v="6"/>
    <n v="4"/>
  </r>
  <r>
    <n v="1100"/>
    <s v="Anjali"/>
    <x v="0"/>
    <n v="39"/>
    <x v="1"/>
    <s v="Tester"/>
    <x v="99"/>
    <x v="95"/>
    <x v="0"/>
    <n v="8"/>
    <n v="5"/>
  </r>
  <r>
    <n v="1101"/>
    <s v="Suresh"/>
    <x v="1"/>
    <n v="41"/>
    <x v="4"/>
    <s v="Coordinator"/>
    <x v="100"/>
    <x v="96"/>
    <x v="0"/>
    <n v="2"/>
    <n v="5"/>
  </r>
  <r>
    <n v="1102"/>
    <s v="Rahul"/>
    <x v="0"/>
    <n v="44"/>
    <x v="4"/>
    <s v="Coordinator"/>
    <x v="101"/>
    <x v="97"/>
    <x v="0"/>
    <n v="10"/>
    <n v="4"/>
  </r>
  <r>
    <n v="1103"/>
    <s v="Lakshmi"/>
    <x v="1"/>
    <n v="45"/>
    <x v="5"/>
    <s v="Accountant"/>
    <x v="102"/>
    <x v="98"/>
    <x v="0"/>
    <n v="2"/>
    <n v="3"/>
  </r>
  <r>
    <n v="1104"/>
    <s v="Swathi"/>
    <x v="0"/>
    <n v="28"/>
    <x v="4"/>
    <s v="Coordinator"/>
    <x v="103"/>
    <x v="99"/>
    <x v="0"/>
    <n v="12"/>
    <n v="5"/>
  </r>
  <r>
    <n v="1105"/>
    <s v="Pooja"/>
    <x v="1"/>
    <n v="45"/>
    <x v="1"/>
    <s v="Tester"/>
    <x v="104"/>
    <x v="100"/>
    <x v="0"/>
    <n v="4"/>
    <n v="5"/>
  </r>
  <r>
    <n v="1106"/>
    <s v="Kiran"/>
    <x v="0"/>
    <n v="29"/>
    <x v="1"/>
    <s v="System Admin"/>
    <x v="105"/>
    <x v="101"/>
    <x v="0"/>
    <n v="6"/>
    <n v="5"/>
  </r>
  <r>
    <n v="1107"/>
    <s v="Pooja"/>
    <x v="1"/>
    <n v="24"/>
    <x v="1"/>
    <s v="Developer"/>
    <x v="106"/>
    <x v="102"/>
    <x v="0"/>
    <n v="6"/>
    <n v="2"/>
  </r>
  <r>
    <n v="1108"/>
    <s v="Anjali"/>
    <x v="0"/>
    <n v="34"/>
    <x v="4"/>
    <s v="Operations Manager"/>
    <x v="107"/>
    <x v="103"/>
    <x v="0"/>
    <n v="1"/>
    <n v="2"/>
  </r>
  <r>
    <n v="1109"/>
    <s v="Srinu"/>
    <x v="1"/>
    <n v="23"/>
    <x v="2"/>
    <s v="Sales Executive"/>
    <x v="108"/>
    <x v="104"/>
    <x v="1"/>
    <n v="6"/>
    <n v="2"/>
  </r>
  <r>
    <n v="1110"/>
    <s v="Divya"/>
    <x v="1"/>
    <n v="40"/>
    <x v="3"/>
    <s v="HR Executive"/>
    <x v="109"/>
    <x v="105"/>
    <x v="0"/>
    <n v="12"/>
    <n v="3"/>
  </r>
  <r>
    <n v="1111"/>
    <s v="Nikhil"/>
    <x v="1"/>
    <n v="26"/>
    <x v="5"/>
    <s v="Financial Analyst"/>
    <x v="110"/>
    <x v="106"/>
    <x v="0"/>
    <n v="5"/>
    <n v="4"/>
  </r>
  <r>
    <n v="1112"/>
    <s v="Priya"/>
    <x v="1"/>
    <n v="45"/>
    <x v="4"/>
    <s v="Operations Manager"/>
    <x v="111"/>
    <x v="107"/>
    <x v="0"/>
    <n v="10"/>
    <n v="5"/>
  </r>
  <r>
    <n v="1113"/>
    <s v="Bhargavi"/>
    <x v="0"/>
    <n v="39"/>
    <x v="2"/>
    <s v="Sales Manager"/>
    <x v="112"/>
    <x v="108"/>
    <x v="0"/>
    <n v="14"/>
    <n v="5"/>
  </r>
  <r>
    <n v="1114"/>
    <s v="Sneha"/>
    <x v="0"/>
    <n v="41"/>
    <x v="4"/>
    <s v="Operations Manager"/>
    <x v="113"/>
    <x v="109"/>
    <x v="0"/>
    <n v="10"/>
    <n v="5"/>
  </r>
  <r>
    <n v="1115"/>
    <s v="Sai"/>
    <x v="1"/>
    <n v="44"/>
    <x v="2"/>
    <s v="Sales Executive"/>
    <x v="114"/>
    <x v="110"/>
    <x v="0"/>
    <n v="9"/>
    <n v="4"/>
  </r>
  <r>
    <n v="1116"/>
    <s v="Sai"/>
    <x v="1"/>
    <n v="24"/>
    <x v="0"/>
    <s v="SEO Specialist"/>
    <x v="115"/>
    <x v="111"/>
    <x v="0"/>
    <n v="5"/>
    <n v="5"/>
  </r>
  <r>
    <n v="1117"/>
    <s v="Vikram"/>
    <x v="0"/>
    <n v="39"/>
    <x v="1"/>
    <s v="Developer"/>
    <x v="116"/>
    <x v="112"/>
    <x v="0"/>
    <n v="10"/>
    <n v="3"/>
  </r>
  <r>
    <n v="1118"/>
    <s v="Ravi"/>
    <x v="1"/>
    <n v="43"/>
    <x v="5"/>
    <s v="Financial Analyst"/>
    <x v="117"/>
    <x v="113"/>
    <x v="0"/>
    <n v="6"/>
    <n v="2"/>
  </r>
  <r>
    <n v="1119"/>
    <s v="Lakshmi"/>
    <x v="0"/>
    <n v="33"/>
    <x v="1"/>
    <s v="Tester"/>
    <x v="118"/>
    <x v="114"/>
    <x v="1"/>
    <n v="15"/>
    <n v="5"/>
  </r>
  <r>
    <n v="1120"/>
    <s v="Sai"/>
    <x v="0"/>
    <n v="31"/>
    <x v="5"/>
    <s v="Financial Analyst"/>
    <x v="119"/>
    <x v="115"/>
    <x v="0"/>
    <n v="2"/>
    <n v="3"/>
  </r>
  <r>
    <n v="1121"/>
    <s v="Vikram"/>
    <x v="0"/>
    <n v="27"/>
    <x v="2"/>
    <s v="Sales Manager"/>
    <x v="120"/>
    <x v="116"/>
    <x v="0"/>
    <n v="11"/>
    <n v="2"/>
  </r>
  <r>
    <n v="1122"/>
    <s v="Nikhil"/>
    <x v="1"/>
    <n v="26"/>
    <x v="4"/>
    <s v="Operations Manager"/>
    <x v="121"/>
    <x v="117"/>
    <x v="0"/>
    <n v="10"/>
    <n v="5"/>
  </r>
  <r>
    <n v="1123"/>
    <s v="Anjali"/>
    <x v="0"/>
    <n v="27"/>
    <x v="4"/>
    <s v="Coordinator"/>
    <x v="122"/>
    <x v="118"/>
    <x v="1"/>
    <n v="9"/>
    <n v="5"/>
  </r>
  <r>
    <n v="1124"/>
    <s v="Lakshmi"/>
    <x v="1"/>
    <n v="43"/>
    <x v="1"/>
    <s v="Developer"/>
    <x v="123"/>
    <x v="119"/>
    <x v="0"/>
    <n v="12"/>
    <n v="3"/>
  </r>
  <r>
    <n v="1125"/>
    <s v="Romeo"/>
    <x v="0"/>
    <n v="26"/>
    <x v="0"/>
    <s v="SEO Specialist"/>
    <x v="124"/>
    <x v="120"/>
    <x v="0"/>
    <n v="11"/>
    <n v="2"/>
  </r>
  <r>
    <n v="1126"/>
    <s v="Srinu"/>
    <x v="0"/>
    <n v="22"/>
    <x v="5"/>
    <s v="Financial Analyst"/>
    <x v="125"/>
    <x v="121"/>
    <x v="0"/>
    <n v="2"/>
    <n v="3"/>
  </r>
  <r>
    <n v="1127"/>
    <s v="Sai"/>
    <x v="0"/>
    <n v="32"/>
    <x v="3"/>
    <s v="HR Executive"/>
    <x v="126"/>
    <x v="122"/>
    <x v="0"/>
    <n v="8"/>
    <n v="2"/>
  </r>
  <r>
    <n v="1128"/>
    <s v="Meena"/>
    <x v="0"/>
    <n v="28"/>
    <x v="1"/>
    <s v="Tester"/>
    <x v="127"/>
    <x v="123"/>
    <x v="0"/>
    <n v="3"/>
    <n v="2"/>
  </r>
  <r>
    <n v="1129"/>
    <s v="Lakshmi"/>
    <x v="0"/>
    <n v="45"/>
    <x v="1"/>
    <s v="Developer"/>
    <x v="128"/>
    <x v="124"/>
    <x v="0"/>
    <n v="1"/>
    <n v="3"/>
  </r>
  <r>
    <n v="1130"/>
    <s v="Ravi"/>
    <x v="1"/>
    <n v="45"/>
    <x v="4"/>
    <s v="Coordinator"/>
    <x v="129"/>
    <x v="59"/>
    <x v="0"/>
    <n v="13"/>
    <n v="4"/>
  </r>
  <r>
    <n v="1131"/>
    <s v="Bhargavi"/>
    <x v="0"/>
    <n v="44"/>
    <x v="2"/>
    <s v="Sales Executive"/>
    <x v="130"/>
    <x v="125"/>
    <x v="0"/>
    <n v="2"/>
    <n v="2"/>
  </r>
  <r>
    <n v="1132"/>
    <s v="Bhargavi"/>
    <x v="1"/>
    <n v="45"/>
    <x v="2"/>
    <s v="Sales Manager"/>
    <x v="131"/>
    <x v="126"/>
    <x v="0"/>
    <n v="14"/>
    <n v="2"/>
  </r>
  <r>
    <n v="1133"/>
    <s v="Priya"/>
    <x v="1"/>
    <n v="30"/>
    <x v="4"/>
    <s v="Operations Manager"/>
    <x v="132"/>
    <x v="127"/>
    <x v="0"/>
    <n v="14"/>
    <n v="4"/>
  </r>
  <r>
    <n v="1134"/>
    <s v="Romeo"/>
    <x v="1"/>
    <n v="40"/>
    <x v="5"/>
    <s v="Financial Analyst"/>
    <x v="133"/>
    <x v="128"/>
    <x v="0"/>
    <n v="1"/>
    <n v="5"/>
  </r>
  <r>
    <n v="1135"/>
    <s v="Suresh"/>
    <x v="0"/>
    <n v="44"/>
    <x v="4"/>
    <s v="Coordinator"/>
    <x v="134"/>
    <x v="129"/>
    <x v="0"/>
    <n v="9"/>
    <n v="2"/>
  </r>
  <r>
    <n v="1136"/>
    <s v="Meena"/>
    <x v="1"/>
    <n v="26"/>
    <x v="0"/>
    <s v="Marketing Executive"/>
    <x v="135"/>
    <x v="130"/>
    <x v="0"/>
    <n v="11"/>
    <n v="5"/>
  </r>
  <r>
    <n v="1137"/>
    <s v="Romeo"/>
    <x v="1"/>
    <n v="29"/>
    <x v="1"/>
    <s v="Developer"/>
    <x v="136"/>
    <x v="131"/>
    <x v="0"/>
    <n v="9"/>
    <n v="3"/>
  </r>
  <r>
    <n v="1138"/>
    <s v="Arjun"/>
    <x v="1"/>
    <n v="26"/>
    <x v="4"/>
    <s v="Operations Manager"/>
    <x v="137"/>
    <x v="68"/>
    <x v="0"/>
    <n v="12"/>
    <n v="5"/>
  </r>
  <r>
    <n v="1139"/>
    <s v="Vikram"/>
    <x v="0"/>
    <n v="25"/>
    <x v="2"/>
    <s v="Sales Manager"/>
    <x v="138"/>
    <x v="132"/>
    <x v="0"/>
    <n v="6"/>
    <n v="5"/>
  </r>
  <r>
    <n v="1140"/>
    <s v="Teja"/>
    <x v="1"/>
    <n v="23"/>
    <x v="0"/>
    <s v="SEO Specialist"/>
    <x v="139"/>
    <x v="133"/>
    <x v="0"/>
    <n v="8"/>
    <n v="3"/>
  </r>
  <r>
    <n v="1141"/>
    <s v="Nikhil"/>
    <x v="1"/>
    <n v="34"/>
    <x v="4"/>
    <s v="Coordinator"/>
    <x v="140"/>
    <x v="134"/>
    <x v="0"/>
    <n v="13"/>
    <n v="2"/>
  </r>
  <r>
    <n v="1142"/>
    <s v="Ravi"/>
    <x v="0"/>
    <n v="23"/>
    <x v="4"/>
    <s v="Operations Manager"/>
    <x v="141"/>
    <x v="135"/>
    <x v="0"/>
    <n v="15"/>
    <n v="2"/>
  </r>
  <r>
    <n v="1143"/>
    <s v="Srinu"/>
    <x v="1"/>
    <n v="34"/>
    <x v="5"/>
    <s v="Accountant"/>
    <x v="142"/>
    <x v="136"/>
    <x v="0"/>
    <n v="1"/>
    <n v="2"/>
  </r>
  <r>
    <n v="1144"/>
    <s v="Ravi"/>
    <x v="0"/>
    <n v="37"/>
    <x v="4"/>
    <s v="Coordinator"/>
    <x v="143"/>
    <x v="137"/>
    <x v="0"/>
    <n v="9"/>
    <n v="3"/>
  </r>
  <r>
    <n v="1145"/>
    <s v="Romeo"/>
    <x v="1"/>
    <n v="35"/>
    <x v="5"/>
    <s v="Accountant"/>
    <x v="144"/>
    <x v="67"/>
    <x v="0"/>
    <n v="9"/>
    <n v="5"/>
  </r>
  <r>
    <n v="1146"/>
    <s v="Nikhil"/>
    <x v="0"/>
    <n v="33"/>
    <x v="5"/>
    <s v="Accountant"/>
    <x v="145"/>
    <x v="138"/>
    <x v="0"/>
    <n v="9"/>
    <n v="2"/>
  </r>
  <r>
    <n v="1147"/>
    <s v="Ravi"/>
    <x v="0"/>
    <n v="38"/>
    <x v="4"/>
    <s v="Operations Manager"/>
    <x v="146"/>
    <x v="139"/>
    <x v="0"/>
    <n v="2"/>
    <n v="2"/>
  </r>
  <r>
    <n v="1148"/>
    <s v="Nikhil"/>
    <x v="0"/>
    <n v="41"/>
    <x v="2"/>
    <s v="Sales Executive"/>
    <x v="147"/>
    <x v="140"/>
    <x v="0"/>
    <n v="11"/>
    <n v="2"/>
  </r>
  <r>
    <n v="1149"/>
    <s v="Divya"/>
    <x v="0"/>
    <n v="45"/>
    <x v="2"/>
    <s v="Sales Executive"/>
    <x v="148"/>
    <x v="68"/>
    <x v="0"/>
    <n v="7"/>
    <n v="2"/>
  </r>
  <r>
    <n v="1150"/>
    <s v="Sneha"/>
    <x v="1"/>
    <n v="43"/>
    <x v="2"/>
    <s v="Sales Executive"/>
    <x v="149"/>
    <x v="141"/>
    <x v="0"/>
    <n v="1"/>
    <n v="3"/>
  </r>
  <r>
    <n v="1151"/>
    <s v="Sai"/>
    <x v="1"/>
    <n v="39"/>
    <x v="0"/>
    <s v="SEO Specialist"/>
    <x v="150"/>
    <x v="142"/>
    <x v="0"/>
    <n v="5"/>
    <n v="2"/>
  </r>
  <r>
    <n v="1152"/>
    <s v="Swathi"/>
    <x v="1"/>
    <n v="35"/>
    <x v="1"/>
    <s v="Data Analyst"/>
    <x v="151"/>
    <x v="143"/>
    <x v="0"/>
    <n v="2"/>
    <n v="4"/>
  </r>
  <r>
    <n v="1153"/>
    <s v="Lakshmi"/>
    <x v="0"/>
    <n v="25"/>
    <x v="2"/>
    <s v="Sales Executive"/>
    <x v="152"/>
    <x v="67"/>
    <x v="1"/>
    <n v="10"/>
    <n v="2"/>
  </r>
  <r>
    <n v="1154"/>
    <s v="Sneha"/>
    <x v="0"/>
    <n v="33"/>
    <x v="4"/>
    <s v="Operations Manager"/>
    <x v="153"/>
    <x v="144"/>
    <x v="0"/>
    <n v="3"/>
    <n v="5"/>
  </r>
  <r>
    <n v="1155"/>
    <s v="Suresh"/>
    <x v="0"/>
    <n v="44"/>
    <x v="5"/>
    <s v="Financial Analyst"/>
    <x v="154"/>
    <x v="145"/>
    <x v="0"/>
    <n v="4"/>
    <n v="3"/>
  </r>
  <r>
    <n v="1156"/>
    <s v="Ravi"/>
    <x v="0"/>
    <n v="33"/>
    <x v="5"/>
    <s v="Financial Analyst"/>
    <x v="155"/>
    <x v="4"/>
    <x v="0"/>
    <n v="4"/>
    <n v="5"/>
  </r>
  <r>
    <n v="1157"/>
    <s v="Nikhil"/>
    <x v="1"/>
    <n v="39"/>
    <x v="4"/>
    <s v="Operations Manager"/>
    <x v="156"/>
    <x v="146"/>
    <x v="0"/>
    <n v="9"/>
    <n v="2"/>
  </r>
  <r>
    <n v="1158"/>
    <s v="Suresh"/>
    <x v="1"/>
    <n v="25"/>
    <x v="0"/>
    <s v="SEO Specialist"/>
    <x v="157"/>
    <x v="147"/>
    <x v="0"/>
    <n v="10"/>
    <n v="5"/>
  </r>
  <r>
    <n v="1159"/>
    <s v="Kiran"/>
    <x v="0"/>
    <n v="44"/>
    <x v="3"/>
    <s v="HR Executive"/>
    <x v="158"/>
    <x v="148"/>
    <x v="0"/>
    <n v="13"/>
    <n v="4"/>
  </r>
  <r>
    <n v="1160"/>
    <s v="Sneha"/>
    <x v="1"/>
    <n v="30"/>
    <x v="3"/>
    <s v="HR Executive"/>
    <x v="159"/>
    <x v="149"/>
    <x v="1"/>
    <n v="10"/>
    <n v="5"/>
  </r>
  <r>
    <n v="1161"/>
    <s v="Sneha"/>
    <x v="0"/>
    <n v="40"/>
    <x v="1"/>
    <s v="Developer"/>
    <x v="160"/>
    <x v="150"/>
    <x v="0"/>
    <n v="7"/>
    <n v="3"/>
  </r>
  <r>
    <n v="1162"/>
    <s v="Lakshmi"/>
    <x v="1"/>
    <n v="22"/>
    <x v="0"/>
    <s v="Marketing Executive"/>
    <x v="161"/>
    <x v="151"/>
    <x v="0"/>
    <n v="3"/>
    <n v="3"/>
  </r>
  <r>
    <n v="1163"/>
    <s v="Swathi"/>
    <x v="0"/>
    <n v="35"/>
    <x v="4"/>
    <s v="Operations Manager"/>
    <x v="162"/>
    <x v="152"/>
    <x v="0"/>
    <n v="12"/>
    <n v="2"/>
  </r>
  <r>
    <n v="1164"/>
    <s v="Priya"/>
    <x v="1"/>
    <n v="40"/>
    <x v="1"/>
    <s v="Developer"/>
    <x v="163"/>
    <x v="153"/>
    <x v="0"/>
    <n v="14"/>
    <n v="3"/>
  </r>
  <r>
    <n v="1165"/>
    <s v="Divya"/>
    <x v="0"/>
    <n v="38"/>
    <x v="1"/>
    <s v="Data Analyst"/>
    <x v="164"/>
    <x v="154"/>
    <x v="0"/>
    <n v="13"/>
    <n v="5"/>
  </r>
  <r>
    <n v="1166"/>
    <s v="Ravi"/>
    <x v="0"/>
    <n v="43"/>
    <x v="1"/>
    <s v="Tester"/>
    <x v="165"/>
    <x v="36"/>
    <x v="0"/>
    <n v="12"/>
    <n v="4"/>
  </r>
  <r>
    <n v="1167"/>
    <s v="Rahul"/>
    <x v="1"/>
    <n v="25"/>
    <x v="5"/>
    <s v="Financial Analyst"/>
    <x v="166"/>
    <x v="155"/>
    <x v="0"/>
    <n v="8"/>
    <n v="5"/>
  </r>
  <r>
    <n v="1168"/>
    <s v="Arjun"/>
    <x v="1"/>
    <n v="30"/>
    <x v="5"/>
    <s v="Financial Analyst"/>
    <x v="167"/>
    <x v="156"/>
    <x v="0"/>
    <n v="3"/>
    <n v="2"/>
  </r>
  <r>
    <n v="1169"/>
    <s v="Nikhil"/>
    <x v="0"/>
    <n v="26"/>
    <x v="2"/>
    <s v="Sales Executive"/>
    <x v="168"/>
    <x v="13"/>
    <x v="0"/>
    <n v="13"/>
    <n v="4"/>
  </r>
  <r>
    <n v="1170"/>
    <s v="Priya"/>
    <x v="1"/>
    <n v="22"/>
    <x v="0"/>
    <s v="Marketing Executive"/>
    <x v="169"/>
    <x v="137"/>
    <x v="0"/>
    <n v="7"/>
    <n v="2"/>
  </r>
  <r>
    <n v="1171"/>
    <s v="Srinu"/>
    <x v="1"/>
    <n v="43"/>
    <x v="0"/>
    <s v="Marketing Executive"/>
    <x v="170"/>
    <x v="157"/>
    <x v="0"/>
    <n v="7"/>
    <n v="3"/>
  </r>
  <r>
    <n v="1172"/>
    <s v="Vikram"/>
    <x v="1"/>
    <n v="24"/>
    <x v="1"/>
    <s v="Tester"/>
    <x v="171"/>
    <x v="158"/>
    <x v="0"/>
    <n v="6"/>
    <n v="2"/>
  </r>
  <r>
    <n v="1173"/>
    <s v="Suresh"/>
    <x v="0"/>
    <n v="30"/>
    <x v="3"/>
    <s v="Recruiter"/>
    <x v="172"/>
    <x v="159"/>
    <x v="0"/>
    <n v="14"/>
    <n v="5"/>
  </r>
  <r>
    <n v="1174"/>
    <s v="Teja"/>
    <x v="1"/>
    <n v="24"/>
    <x v="4"/>
    <s v="Coordinator"/>
    <x v="173"/>
    <x v="160"/>
    <x v="0"/>
    <n v="9"/>
    <n v="4"/>
  </r>
  <r>
    <n v="1175"/>
    <s v="Sai"/>
    <x v="1"/>
    <n v="30"/>
    <x v="3"/>
    <s v="HR Executive"/>
    <x v="174"/>
    <x v="161"/>
    <x v="0"/>
    <n v="13"/>
    <n v="2"/>
  </r>
  <r>
    <n v="1176"/>
    <s v="Priya"/>
    <x v="1"/>
    <n v="40"/>
    <x v="0"/>
    <s v="SEO Specialist"/>
    <x v="175"/>
    <x v="162"/>
    <x v="0"/>
    <n v="5"/>
    <n v="3"/>
  </r>
  <r>
    <n v="1177"/>
    <s v="Srinu"/>
    <x v="1"/>
    <n v="38"/>
    <x v="0"/>
    <s v="SEO Specialist"/>
    <x v="176"/>
    <x v="163"/>
    <x v="1"/>
    <n v="4"/>
    <n v="4"/>
  </r>
  <r>
    <n v="1178"/>
    <s v="Arjun"/>
    <x v="1"/>
    <n v="33"/>
    <x v="3"/>
    <s v="HR Executive"/>
    <x v="177"/>
    <x v="164"/>
    <x v="0"/>
    <n v="14"/>
    <n v="4"/>
  </r>
  <r>
    <n v="1179"/>
    <s v="Rahul"/>
    <x v="1"/>
    <n v="30"/>
    <x v="3"/>
    <s v="HR Executive"/>
    <x v="178"/>
    <x v="165"/>
    <x v="0"/>
    <n v="9"/>
    <n v="2"/>
  </r>
  <r>
    <n v="1180"/>
    <s v="Meena"/>
    <x v="1"/>
    <n v="38"/>
    <x v="1"/>
    <s v="Developer"/>
    <x v="179"/>
    <x v="166"/>
    <x v="0"/>
    <n v="2"/>
    <n v="4"/>
  </r>
  <r>
    <n v="1181"/>
    <s v="Ravi"/>
    <x v="1"/>
    <n v="30"/>
    <x v="2"/>
    <s v="Sales Executive"/>
    <x v="180"/>
    <x v="167"/>
    <x v="0"/>
    <n v="7"/>
    <n v="4"/>
  </r>
  <r>
    <n v="1182"/>
    <s v="Anjali"/>
    <x v="0"/>
    <n v="27"/>
    <x v="4"/>
    <s v="Operations Manager"/>
    <x v="181"/>
    <x v="168"/>
    <x v="0"/>
    <n v="7"/>
    <n v="4"/>
  </r>
  <r>
    <n v="1183"/>
    <s v="Srinu"/>
    <x v="0"/>
    <n v="26"/>
    <x v="2"/>
    <s v="Sales Manager"/>
    <x v="182"/>
    <x v="169"/>
    <x v="0"/>
    <n v="2"/>
    <n v="2"/>
  </r>
  <r>
    <n v="1184"/>
    <s v="Suresh"/>
    <x v="1"/>
    <n v="31"/>
    <x v="2"/>
    <s v="Sales Executive"/>
    <x v="183"/>
    <x v="170"/>
    <x v="0"/>
    <n v="11"/>
    <n v="4"/>
  </r>
  <r>
    <n v="1185"/>
    <s v="Kiran"/>
    <x v="1"/>
    <n v="43"/>
    <x v="1"/>
    <s v="System Admin"/>
    <x v="184"/>
    <x v="171"/>
    <x v="1"/>
    <n v="5"/>
    <n v="2"/>
  </r>
  <r>
    <n v="1186"/>
    <s v="Kiran"/>
    <x v="1"/>
    <n v="43"/>
    <x v="2"/>
    <s v="Sales Executive"/>
    <x v="185"/>
    <x v="172"/>
    <x v="0"/>
    <n v="6"/>
    <n v="4"/>
  </r>
  <r>
    <n v="1187"/>
    <s v="Kiran"/>
    <x v="1"/>
    <n v="25"/>
    <x v="2"/>
    <s v="Sales Executive"/>
    <x v="186"/>
    <x v="173"/>
    <x v="0"/>
    <n v="3"/>
    <n v="5"/>
  </r>
  <r>
    <n v="1188"/>
    <s v="Vikram"/>
    <x v="0"/>
    <n v="26"/>
    <x v="2"/>
    <s v="Sales Executive"/>
    <x v="187"/>
    <x v="73"/>
    <x v="0"/>
    <n v="7"/>
    <n v="3"/>
  </r>
  <r>
    <n v="1189"/>
    <s v="Ravi"/>
    <x v="1"/>
    <n v="40"/>
    <x v="5"/>
    <s v="Accountant"/>
    <x v="188"/>
    <x v="174"/>
    <x v="0"/>
    <n v="12"/>
    <n v="2"/>
  </r>
  <r>
    <n v="1190"/>
    <s v="Nikhil"/>
    <x v="0"/>
    <n v="42"/>
    <x v="2"/>
    <s v="Sales Executive"/>
    <x v="189"/>
    <x v="175"/>
    <x v="0"/>
    <n v="10"/>
    <n v="4"/>
  </r>
  <r>
    <n v="1191"/>
    <s v="Ravi"/>
    <x v="0"/>
    <n v="23"/>
    <x v="5"/>
    <s v="Financial Analyst"/>
    <x v="190"/>
    <x v="176"/>
    <x v="0"/>
    <n v="5"/>
    <n v="4"/>
  </r>
  <r>
    <n v="1192"/>
    <s v="Anjali"/>
    <x v="1"/>
    <n v="36"/>
    <x v="3"/>
    <s v="HR Executive"/>
    <x v="191"/>
    <x v="177"/>
    <x v="0"/>
    <n v="14"/>
    <n v="3"/>
  </r>
  <r>
    <n v="1193"/>
    <s v="Priya"/>
    <x v="1"/>
    <n v="37"/>
    <x v="4"/>
    <s v="Operations Manager"/>
    <x v="192"/>
    <x v="178"/>
    <x v="0"/>
    <n v="7"/>
    <n v="2"/>
  </r>
  <r>
    <n v="1194"/>
    <s v="Romeo"/>
    <x v="0"/>
    <n v="31"/>
    <x v="5"/>
    <s v="Financial Analyst"/>
    <x v="193"/>
    <x v="179"/>
    <x v="1"/>
    <n v="10"/>
    <n v="3"/>
  </r>
  <r>
    <n v="1195"/>
    <s v="Kiran"/>
    <x v="1"/>
    <n v="39"/>
    <x v="1"/>
    <s v="System Admin"/>
    <x v="194"/>
    <x v="180"/>
    <x v="0"/>
    <n v="1"/>
    <n v="4"/>
  </r>
  <r>
    <n v="1196"/>
    <s v="Rahul"/>
    <x v="0"/>
    <n v="25"/>
    <x v="2"/>
    <s v="Sales Manager"/>
    <x v="195"/>
    <x v="181"/>
    <x v="0"/>
    <n v="1"/>
    <n v="2"/>
  </r>
  <r>
    <n v="1197"/>
    <s v="Nikhil"/>
    <x v="0"/>
    <n v="44"/>
    <x v="4"/>
    <s v="Operations Manager"/>
    <x v="196"/>
    <x v="182"/>
    <x v="0"/>
    <n v="3"/>
    <n v="2"/>
  </r>
  <r>
    <n v="1198"/>
    <s v="Priya"/>
    <x v="0"/>
    <n v="38"/>
    <x v="3"/>
    <s v="Recruiter"/>
    <x v="197"/>
    <x v="183"/>
    <x v="0"/>
    <n v="3"/>
    <n v="2"/>
  </r>
  <r>
    <n v="1199"/>
    <s v="Kiran"/>
    <x v="0"/>
    <n v="24"/>
    <x v="5"/>
    <s v="Accountant"/>
    <x v="198"/>
    <x v="184"/>
    <x v="0"/>
    <n v="8"/>
    <n v="2"/>
  </r>
  <r>
    <n v="1200"/>
    <s v="Nikhil"/>
    <x v="1"/>
    <n v="24"/>
    <x v="1"/>
    <s v="Developer"/>
    <x v="199"/>
    <x v="185"/>
    <x v="0"/>
    <n v="3"/>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FE1F66-7453-4BDB-8EF3-7A12F6146F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1:F9" firstHeaderRow="1" firstDataRow="2" firstDataCol="1"/>
  <pivotFields count="14">
    <pivotField dataField="1" showAll="0"/>
    <pivotField showAll="0"/>
    <pivotField showAll="0">
      <items count="3">
        <item x="1"/>
        <item x="0"/>
        <item t="default"/>
      </items>
    </pivotField>
    <pivotField showAll="0"/>
    <pivotField axis="axisRow" showAll="0">
      <items count="7">
        <item x="5"/>
        <item x="3"/>
        <item x="1"/>
        <item x="0"/>
        <item x="4"/>
        <item x="2"/>
        <item t="default"/>
      </items>
    </pivotField>
    <pivotField showAll="0"/>
    <pivotField showAll="0"/>
    <pivotField numFmtId="14" showAll="0">
      <items count="187">
        <item x="68"/>
        <item x="14"/>
        <item x="126"/>
        <item x="145"/>
        <item x="154"/>
        <item x="18"/>
        <item x="179"/>
        <item x="73"/>
        <item x="167"/>
        <item x="70"/>
        <item x="118"/>
        <item x="5"/>
        <item x="79"/>
        <item x="31"/>
        <item x="88"/>
        <item x="131"/>
        <item x="92"/>
        <item x="67"/>
        <item x="16"/>
        <item x="17"/>
        <item x="38"/>
        <item x="153"/>
        <item x="71"/>
        <item x="11"/>
        <item x="161"/>
        <item x="57"/>
        <item x="152"/>
        <item x="106"/>
        <item x="180"/>
        <item x="114"/>
        <item x="22"/>
        <item x="110"/>
        <item x="101"/>
        <item x="147"/>
        <item x="97"/>
        <item x="10"/>
        <item x="162"/>
        <item x="42"/>
        <item x="56"/>
        <item x="125"/>
        <item x="122"/>
        <item x="108"/>
        <item x="78"/>
        <item x="9"/>
        <item x="0"/>
        <item x="141"/>
        <item x="4"/>
        <item x="19"/>
        <item x="100"/>
        <item x="111"/>
        <item x="69"/>
        <item x="64"/>
        <item x="128"/>
        <item x="39"/>
        <item x="172"/>
        <item x="112"/>
        <item x="132"/>
        <item x="178"/>
        <item x="30"/>
        <item x="49"/>
        <item x="74"/>
        <item x="121"/>
        <item x="176"/>
        <item x="32"/>
        <item x="177"/>
        <item x="123"/>
        <item x="12"/>
        <item x="98"/>
        <item x="20"/>
        <item x="124"/>
        <item x="146"/>
        <item x="174"/>
        <item x="59"/>
        <item x="139"/>
        <item x="144"/>
        <item x="94"/>
        <item x="163"/>
        <item x="158"/>
        <item x="96"/>
        <item x="95"/>
        <item x="129"/>
        <item x="85"/>
        <item x="169"/>
        <item x="127"/>
        <item x="63"/>
        <item x="6"/>
        <item x="130"/>
        <item x="99"/>
        <item x="135"/>
        <item x="23"/>
        <item x="138"/>
        <item x="44"/>
        <item x="182"/>
        <item x="102"/>
        <item x="27"/>
        <item x="103"/>
        <item x="81"/>
        <item x="151"/>
        <item x="8"/>
        <item x="21"/>
        <item x="48"/>
        <item x="25"/>
        <item x="52"/>
        <item x="40"/>
        <item x="133"/>
        <item x="105"/>
        <item x="80"/>
        <item x="83"/>
        <item x="15"/>
        <item x="119"/>
        <item x="35"/>
        <item x="185"/>
        <item x="142"/>
        <item x="156"/>
        <item x="164"/>
        <item x="72"/>
        <item x="93"/>
        <item x="65"/>
        <item x="155"/>
        <item x="26"/>
        <item x="181"/>
        <item x="91"/>
        <item x="2"/>
        <item x="120"/>
        <item x="62"/>
        <item x="166"/>
        <item x="47"/>
        <item x="168"/>
        <item x="143"/>
        <item x="104"/>
        <item x="3"/>
        <item x="113"/>
        <item x="43"/>
        <item x="137"/>
        <item x="115"/>
        <item x="58"/>
        <item x="82"/>
        <item x="45"/>
        <item x="148"/>
        <item x="60"/>
        <item x="46"/>
        <item x="116"/>
        <item x="51"/>
        <item x="36"/>
        <item x="76"/>
        <item x="117"/>
        <item x="175"/>
        <item x="29"/>
        <item x="160"/>
        <item x="136"/>
        <item x="157"/>
        <item x="50"/>
        <item x="61"/>
        <item x="109"/>
        <item x="24"/>
        <item x="28"/>
        <item x="86"/>
        <item x="53"/>
        <item x="150"/>
        <item x="184"/>
        <item x="1"/>
        <item x="89"/>
        <item x="34"/>
        <item x="77"/>
        <item x="165"/>
        <item x="149"/>
        <item x="41"/>
        <item x="159"/>
        <item x="55"/>
        <item x="171"/>
        <item x="13"/>
        <item x="33"/>
        <item x="90"/>
        <item x="84"/>
        <item x="183"/>
        <item x="173"/>
        <item x="140"/>
        <item x="107"/>
        <item x="134"/>
        <item x="54"/>
        <item x="37"/>
        <item x="75"/>
        <item x="66"/>
        <item x="87"/>
        <item x="7"/>
        <item x="170"/>
        <item t="default"/>
      </items>
    </pivotField>
    <pivotField axis="axisCol"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4"/>
  </rowFields>
  <rowItems count="7">
    <i>
      <x/>
    </i>
    <i>
      <x v="1"/>
    </i>
    <i>
      <x v="2"/>
    </i>
    <i>
      <x v="3"/>
    </i>
    <i>
      <x v="4"/>
    </i>
    <i>
      <x v="5"/>
    </i>
    <i t="grand">
      <x/>
    </i>
  </rowItems>
  <colFields count="1">
    <field x="8"/>
  </colFields>
  <colItems count="3">
    <i>
      <x/>
    </i>
    <i>
      <x v="1"/>
    </i>
    <i t="grand">
      <x/>
    </i>
  </colItems>
  <dataFields count="1">
    <dataField name="Sum of Emp_ID" fld="0" baseField="0"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6" format="4" series="1">
      <pivotArea type="data" outline="0" fieldPosition="0">
        <references count="2">
          <reference field="4294967294" count="1" selected="0">
            <x v="0"/>
          </reference>
          <reference field="8" count="1" selected="0">
            <x v="0"/>
          </reference>
        </references>
      </pivotArea>
    </chartFormat>
    <chartFormat chart="6"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F90899-C0D2-4354-A26A-6D34B05EEB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8" firstHeaderRow="1" firstDataRow="1" firstDataCol="1"/>
  <pivotFields count="14">
    <pivotField dataField="1" showAll="0"/>
    <pivotField showAll="0"/>
    <pivotField showAll="0">
      <items count="3">
        <item x="1"/>
        <item x="0"/>
        <item t="default"/>
      </items>
    </pivotField>
    <pivotField showAll="0"/>
    <pivotField axis="axisRow" showAll="0">
      <items count="7">
        <item x="5"/>
        <item x="3"/>
        <item x="1"/>
        <item x="0"/>
        <item x="4"/>
        <item x="2"/>
        <item t="default"/>
      </items>
    </pivotField>
    <pivotField showAll="0"/>
    <pivotField showAll="0"/>
    <pivotField numFmtId="14" showAll="0">
      <items count="187">
        <item x="68"/>
        <item x="14"/>
        <item x="126"/>
        <item x="145"/>
        <item x="154"/>
        <item x="18"/>
        <item x="179"/>
        <item x="73"/>
        <item x="167"/>
        <item x="70"/>
        <item x="118"/>
        <item x="5"/>
        <item x="79"/>
        <item x="31"/>
        <item x="88"/>
        <item x="131"/>
        <item x="92"/>
        <item x="67"/>
        <item x="16"/>
        <item x="17"/>
        <item x="38"/>
        <item x="153"/>
        <item x="71"/>
        <item x="11"/>
        <item x="161"/>
        <item x="57"/>
        <item x="152"/>
        <item x="106"/>
        <item x="180"/>
        <item x="114"/>
        <item x="22"/>
        <item x="110"/>
        <item x="101"/>
        <item x="147"/>
        <item x="97"/>
        <item x="10"/>
        <item x="162"/>
        <item x="42"/>
        <item x="56"/>
        <item x="125"/>
        <item x="122"/>
        <item x="108"/>
        <item x="78"/>
        <item x="9"/>
        <item x="0"/>
        <item x="141"/>
        <item x="4"/>
        <item x="19"/>
        <item x="100"/>
        <item x="111"/>
        <item x="69"/>
        <item x="64"/>
        <item x="128"/>
        <item x="39"/>
        <item x="172"/>
        <item x="112"/>
        <item x="132"/>
        <item x="178"/>
        <item x="30"/>
        <item x="49"/>
        <item x="74"/>
        <item x="121"/>
        <item x="176"/>
        <item x="32"/>
        <item x="177"/>
        <item x="123"/>
        <item x="12"/>
        <item x="98"/>
        <item x="20"/>
        <item x="124"/>
        <item x="146"/>
        <item x="174"/>
        <item x="59"/>
        <item x="139"/>
        <item x="144"/>
        <item x="94"/>
        <item x="163"/>
        <item x="158"/>
        <item x="96"/>
        <item x="95"/>
        <item x="129"/>
        <item x="85"/>
        <item x="169"/>
        <item x="127"/>
        <item x="63"/>
        <item x="6"/>
        <item x="130"/>
        <item x="99"/>
        <item x="135"/>
        <item x="23"/>
        <item x="138"/>
        <item x="44"/>
        <item x="182"/>
        <item x="102"/>
        <item x="27"/>
        <item x="103"/>
        <item x="81"/>
        <item x="151"/>
        <item x="8"/>
        <item x="21"/>
        <item x="48"/>
        <item x="25"/>
        <item x="52"/>
        <item x="40"/>
        <item x="133"/>
        <item x="105"/>
        <item x="80"/>
        <item x="83"/>
        <item x="15"/>
        <item x="119"/>
        <item x="35"/>
        <item x="185"/>
        <item x="142"/>
        <item x="156"/>
        <item x="164"/>
        <item x="72"/>
        <item x="93"/>
        <item x="65"/>
        <item x="155"/>
        <item x="26"/>
        <item x="181"/>
        <item x="91"/>
        <item x="2"/>
        <item x="120"/>
        <item x="62"/>
        <item x="166"/>
        <item x="47"/>
        <item x="168"/>
        <item x="143"/>
        <item x="104"/>
        <item x="3"/>
        <item x="113"/>
        <item x="43"/>
        <item x="137"/>
        <item x="115"/>
        <item x="58"/>
        <item x="82"/>
        <item x="45"/>
        <item x="148"/>
        <item x="60"/>
        <item x="46"/>
        <item x="116"/>
        <item x="51"/>
        <item x="36"/>
        <item x="76"/>
        <item x="117"/>
        <item x="175"/>
        <item x="29"/>
        <item x="160"/>
        <item x="136"/>
        <item x="157"/>
        <item x="50"/>
        <item x="61"/>
        <item x="109"/>
        <item x="24"/>
        <item x="28"/>
        <item x="86"/>
        <item x="53"/>
        <item x="150"/>
        <item x="184"/>
        <item x="1"/>
        <item x="89"/>
        <item x="34"/>
        <item x="77"/>
        <item x="165"/>
        <item x="149"/>
        <item x="41"/>
        <item x="159"/>
        <item x="55"/>
        <item x="171"/>
        <item x="13"/>
        <item x="33"/>
        <item x="90"/>
        <item x="84"/>
        <item x="183"/>
        <item x="173"/>
        <item x="140"/>
        <item x="107"/>
        <item x="134"/>
        <item x="54"/>
        <item x="37"/>
        <item x="75"/>
        <item x="66"/>
        <item x="87"/>
        <item x="7"/>
        <item x="170"/>
        <item t="default"/>
      </items>
    </pivotField>
    <pivotField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4"/>
  </rowFields>
  <rowItems count="7">
    <i>
      <x/>
    </i>
    <i>
      <x v="1"/>
    </i>
    <i>
      <x v="2"/>
    </i>
    <i>
      <x v="3"/>
    </i>
    <i>
      <x v="4"/>
    </i>
    <i>
      <x v="5"/>
    </i>
    <i t="grand">
      <x/>
    </i>
  </rowItems>
  <colItems count="1">
    <i/>
  </colItems>
  <dataFields count="1">
    <dataField name="Sum of Emp_ID" fld="0" baseField="0" baseItem="0"/>
  </dataField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D54EF0-6C4E-40FD-A51B-4E741C72E3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5:E216" firstHeaderRow="1" firstDataRow="1" firstDataCol="1"/>
  <pivotFields count="14">
    <pivotField dataField="1" showAll="0"/>
    <pivotField showAll="0"/>
    <pivotField showAll="0">
      <items count="3">
        <item x="1"/>
        <item x="0"/>
        <item t="default"/>
      </items>
    </pivotField>
    <pivotField showAll="0"/>
    <pivotField showAll="0">
      <items count="7">
        <item x="5"/>
        <item x="3"/>
        <item x="1"/>
        <item x="0"/>
        <item x="4"/>
        <item x="2"/>
        <item t="default"/>
      </items>
    </pivotField>
    <pivotField showAll="0"/>
    <pivotField axis="axisRow" showAll="0" sortType="ascending">
      <items count="201">
        <item x="157"/>
        <item x="82"/>
        <item x="28"/>
        <item x="178"/>
        <item x="17"/>
        <item x="120"/>
        <item x="67"/>
        <item x="154"/>
        <item x="124"/>
        <item x="158"/>
        <item x="97"/>
        <item x="180"/>
        <item x="175"/>
        <item x="171"/>
        <item x="130"/>
        <item x="55"/>
        <item x="195"/>
        <item x="2"/>
        <item x="56"/>
        <item x="7"/>
        <item x="29"/>
        <item x="4"/>
        <item x="159"/>
        <item x="110"/>
        <item x="128"/>
        <item x="73"/>
        <item x="76"/>
        <item x="126"/>
        <item x="65"/>
        <item x="41"/>
        <item x="174"/>
        <item x="173"/>
        <item x="95"/>
        <item x="163"/>
        <item x="102"/>
        <item x="172"/>
        <item x="179"/>
        <item x="71"/>
        <item x="151"/>
        <item x="59"/>
        <item x="36"/>
        <item x="114"/>
        <item x="35"/>
        <item x="136"/>
        <item x="132"/>
        <item x="50"/>
        <item x="166"/>
        <item x="146"/>
        <item x="6"/>
        <item x="85"/>
        <item x="52"/>
        <item x="160"/>
        <item x="70"/>
        <item x="11"/>
        <item x="40"/>
        <item x="18"/>
        <item x="117"/>
        <item x="15"/>
        <item x="54"/>
        <item x="122"/>
        <item x="150"/>
        <item x="31"/>
        <item x="147"/>
        <item x="109"/>
        <item x="32"/>
        <item x="144"/>
        <item x="199"/>
        <item x="148"/>
        <item x="133"/>
        <item x="10"/>
        <item x="46"/>
        <item x="145"/>
        <item x="5"/>
        <item x="78"/>
        <item x="94"/>
        <item x="13"/>
        <item x="141"/>
        <item x="127"/>
        <item x="89"/>
        <item x="74"/>
        <item x="20"/>
        <item x="19"/>
        <item x="153"/>
        <item x="152"/>
        <item x="182"/>
        <item x="63"/>
        <item x="45"/>
        <item x="156"/>
        <item x="87"/>
        <item x="8"/>
        <item x="68"/>
        <item x="37"/>
        <item x="49"/>
        <item x="66"/>
        <item x="23"/>
        <item x="3"/>
        <item x="48"/>
        <item x="198"/>
        <item x="131"/>
        <item x="34"/>
        <item x="135"/>
        <item x="98"/>
        <item x="44"/>
        <item x="72"/>
        <item x="22"/>
        <item x="64"/>
        <item x="177"/>
        <item x="138"/>
        <item x="183"/>
        <item x="111"/>
        <item x="100"/>
        <item x="169"/>
        <item x="80"/>
        <item x="99"/>
        <item x="112"/>
        <item x="119"/>
        <item x="108"/>
        <item x="186"/>
        <item x="90"/>
        <item x="47"/>
        <item x="191"/>
        <item x="0"/>
        <item x="43"/>
        <item x="194"/>
        <item x="39"/>
        <item x="118"/>
        <item x="104"/>
        <item x="101"/>
        <item x="123"/>
        <item x="83"/>
        <item x="26"/>
        <item x="167"/>
        <item x="58"/>
        <item x="185"/>
        <item x="105"/>
        <item x="42"/>
        <item x="121"/>
        <item x="84"/>
        <item x="96"/>
        <item x="30"/>
        <item x="62"/>
        <item x="168"/>
        <item x="33"/>
        <item x="77"/>
        <item x="190"/>
        <item x="197"/>
        <item x="25"/>
        <item x="14"/>
        <item x="75"/>
        <item x="38"/>
        <item x="187"/>
        <item x="57"/>
        <item x="170"/>
        <item x="24"/>
        <item x="184"/>
        <item x="113"/>
        <item x="53"/>
        <item x="134"/>
        <item x="181"/>
        <item x="79"/>
        <item x="9"/>
        <item x="12"/>
        <item x="143"/>
        <item x="88"/>
        <item x="1"/>
        <item x="176"/>
        <item x="164"/>
        <item x="69"/>
        <item x="196"/>
        <item x="93"/>
        <item x="142"/>
        <item x="139"/>
        <item x="189"/>
        <item x="116"/>
        <item x="115"/>
        <item x="155"/>
        <item x="16"/>
        <item x="27"/>
        <item x="161"/>
        <item x="103"/>
        <item x="125"/>
        <item x="193"/>
        <item x="86"/>
        <item x="149"/>
        <item x="106"/>
        <item x="129"/>
        <item x="92"/>
        <item x="91"/>
        <item x="107"/>
        <item x="165"/>
        <item x="60"/>
        <item x="188"/>
        <item x="81"/>
        <item x="140"/>
        <item x="51"/>
        <item x="192"/>
        <item x="61"/>
        <item x="162"/>
        <item x="21"/>
        <item x="137"/>
        <item t="default"/>
      </items>
    </pivotField>
    <pivotField numFmtId="14" showAll="0">
      <items count="187">
        <item x="68"/>
        <item x="14"/>
        <item x="126"/>
        <item x="145"/>
        <item x="154"/>
        <item x="18"/>
        <item x="179"/>
        <item x="73"/>
        <item x="167"/>
        <item x="70"/>
        <item x="118"/>
        <item x="5"/>
        <item x="79"/>
        <item x="31"/>
        <item x="88"/>
        <item x="131"/>
        <item x="92"/>
        <item x="67"/>
        <item x="16"/>
        <item x="17"/>
        <item x="38"/>
        <item x="153"/>
        <item x="71"/>
        <item x="11"/>
        <item x="161"/>
        <item x="57"/>
        <item x="152"/>
        <item x="106"/>
        <item x="180"/>
        <item x="114"/>
        <item x="22"/>
        <item x="110"/>
        <item x="101"/>
        <item x="147"/>
        <item x="97"/>
        <item x="10"/>
        <item x="162"/>
        <item x="42"/>
        <item x="56"/>
        <item x="125"/>
        <item x="122"/>
        <item x="108"/>
        <item x="78"/>
        <item x="9"/>
        <item x="0"/>
        <item x="141"/>
        <item x="4"/>
        <item x="19"/>
        <item x="100"/>
        <item x="111"/>
        <item x="69"/>
        <item x="64"/>
        <item x="128"/>
        <item x="39"/>
        <item x="172"/>
        <item x="112"/>
        <item x="132"/>
        <item x="178"/>
        <item x="30"/>
        <item x="49"/>
        <item x="74"/>
        <item x="121"/>
        <item x="176"/>
        <item x="32"/>
        <item x="177"/>
        <item x="123"/>
        <item x="12"/>
        <item x="98"/>
        <item x="20"/>
        <item x="124"/>
        <item x="146"/>
        <item x="174"/>
        <item x="59"/>
        <item x="139"/>
        <item x="144"/>
        <item x="94"/>
        <item x="163"/>
        <item x="158"/>
        <item x="96"/>
        <item x="95"/>
        <item x="129"/>
        <item x="85"/>
        <item x="169"/>
        <item x="127"/>
        <item x="63"/>
        <item x="6"/>
        <item x="130"/>
        <item x="99"/>
        <item x="135"/>
        <item x="23"/>
        <item x="138"/>
        <item x="44"/>
        <item x="182"/>
        <item x="102"/>
        <item x="27"/>
        <item x="103"/>
        <item x="81"/>
        <item x="151"/>
        <item x="8"/>
        <item x="21"/>
        <item x="48"/>
        <item x="25"/>
        <item x="52"/>
        <item x="40"/>
        <item x="133"/>
        <item x="105"/>
        <item x="80"/>
        <item x="83"/>
        <item x="15"/>
        <item x="119"/>
        <item x="35"/>
        <item x="185"/>
        <item x="142"/>
        <item x="156"/>
        <item x="164"/>
        <item x="72"/>
        <item x="93"/>
        <item x="65"/>
        <item x="155"/>
        <item x="26"/>
        <item x="181"/>
        <item x="91"/>
        <item x="2"/>
        <item x="120"/>
        <item x="62"/>
        <item x="166"/>
        <item x="47"/>
        <item x="168"/>
        <item x="143"/>
        <item x="104"/>
        <item x="3"/>
        <item x="113"/>
        <item x="43"/>
        <item x="137"/>
        <item x="115"/>
        <item x="58"/>
        <item x="82"/>
        <item x="45"/>
        <item x="148"/>
        <item x="60"/>
        <item x="46"/>
        <item x="116"/>
        <item x="51"/>
        <item x="36"/>
        <item x="76"/>
        <item x="117"/>
        <item x="175"/>
        <item x="29"/>
        <item x="160"/>
        <item x="136"/>
        <item x="157"/>
        <item x="50"/>
        <item x="61"/>
        <item x="109"/>
        <item x="24"/>
        <item x="28"/>
        <item x="86"/>
        <item x="53"/>
        <item x="150"/>
        <item x="184"/>
        <item x="1"/>
        <item x="89"/>
        <item x="34"/>
        <item x="77"/>
        <item x="165"/>
        <item x="149"/>
        <item x="41"/>
        <item x="159"/>
        <item x="55"/>
        <item x="171"/>
        <item x="13"/>
        <item x="33"/>
        <item x="90"/>
        <item x="84"/>
        <item x="183"/>
        <item x="173"/>
        <item x="140"/>
        <item x="107"/>
        <item x="134"/>
        <item x="54"/>
        <item x="37"/>
        <item x="75"/>
        <item x="66"/>
        <item x="87"/>
        <item x="7"/>
        <item x="170"/>
        <item t="default"/>
      </items>
    </pivotField>
    <pivotField showAll="0">
      <items count="3">
        <item x="0"/>
        <item x="1"/>
        <item t="default"/>
      </items>
    </pivotField>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6"/>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Items count="1">
    <i/>
  </colItems>
  <dataFields count="1">
    <dataField name="Sum of Emp_ID" fld="0" baseField="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79F2C3-364F-4F4E-8269-CB5079E96F0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23" firstHeaderRow="1" firstDataRow="1" firstDataCol="1"/>
  <pivotFields count="14">
    <pivotField dataField="1" showAll="0"/>
    <pivotField showAll="0"/>
    <pivotField showAll="0">
      <items count="3">
        <item x="1"/>
        <item x="0"/>
        <item t="default"/>
      </items>
    </pivotField>
    <pivotField showAll="0"/>
    <pivotField showAll="0">
      <items count="7">
        <item x="5"/>
        <item x="3"/>
        <item x="1"/>
        <item x="0"/>
        <item x="4"/>
        <item x="2"/>
        <item t="default"/>
      </items>
    </pivotField>
    <pivotField showAll="0"/>
    <pivotField showAll="0"/>
    <pivotField axis="axisRow" numFmtId="14" showAll="0">
      <items count="187">
        <item x="68"/>
        <item x="14"/>
        <item x="126"/>
        <item x="145"/>
        <item x="154"/>
        <item x="18"/>
        <item x="179"/>
        <item x="73"/>
        <item x="167"/>
        <item x="70"/>
        <item x="118"/>
        <item x="5"/>
        <item x="79"/>
        <item x="31"/>
        <item x="88"/>
        <item x="131"/>
        <item x="92"/>
        <item x="67"/>
        <item x="16"/>
        <item x="17"/>
        <item x="38"/>
        <item x="153"/>
        <item x="71"/>
        <item x="11"/>
        <item x="161"/>
        <item x="57"/>
        <item x="152"/>
        <item x="106"/>
        <item x="180"/>
        <item x="114"/>
        <item x="22"/>
        <item x="110"/>
        <item x="101"/>
        <item x="147"/>
        <item x="97"/>
        <item x="10"/>
        <item x="162"/>
        <item x="42"/>
        <item x="56"/>
        <item x="125"/>
        <item x="122"/>
        <item x="108"/>
        <item x="78"/>
        <item x="9"/>
        <item x="0"/>
        <item x="141"/>
        <item x="4"/>
        <item x="19"/>
        <item x="100"/>
        <item x="111"/>
        <item x="69"/>
        <item x="64"/>
        <item x="128"/>
        <item x="39"/>
        <item x="172"/>
        <item x="112"/>
        <item x="132"/>
        <item x="178"/>
        <item x="30"/>
        <item x="49"/>
        <item x="74"/>
        <item x="121"/>
        <item x="176"/>
        <item x="32"/>
        <item x="177"/>
        <item x="123"/>
        <item x="12"/>
        <item x="98"/>
        <item x="20"/>
        <item x="124"/>
        <item x="146"/>
        <item x="174"/>
        <item x="59"/>
        <item x="139"/>
        <item x="144"/>
        <item x="94"/>
        <item x="163"/>
        <item x="158"/>
        <item x="96"/>
        <item x="95"/>
        <item x="129"/>
        <item x="85"/>
        <item x="169"/>
        <item x="127"/>
        <item x="63"/>
        <item x="6"/>
        <item x="130"/>
        <item x="99"/>
        <item x="135"/>
        <item x="23"/>
        <item x="138"/>
        <item x="44"/>
        <item x="182"/>
        <item x="102"/>
        <item x="27"/>
        <item x="103"/>
        <item x="81"/>
        <item x="151"/>
        <item x="8"/>
        <item x="21"/>
        <item x="48"/>
        <item x="25"/>
        <item x="52"/>
        <item x="40"/>
        <item x="133"/>
        <item x="105"/>
        <item x="80"/>
        <item x="83"/>
        <item x="15"/>
        <item x="119"/>
        <item x="35"/>
        <item x="185"/>
        <item x="142"/>
        <item x="156"/>
        <item x="164"/>
        <item x="72"/>
        <item x="93"/>
        <item x="65"/>
        <item x="155"/>
        <item x="26"/>
        <item x="181"/>
        <item x="91"/>
        <item x="2"/>
        <item x="120"/>
        <item x="62"/>
        <item x="166"/>
        <item x="47"/>
        <item x="168"/>
        <item x="143"/>
        <item x="104"/>
        <item x="3"/>
        <item x="113"/>
        <item x="43"/>
        <item x="137"/>
        <item x="115"/>
        <item x="58"/>
        <item x="82"/>
        <item x="45"/>
        <item x="148"/>
        <item x="60"/>
        <item x="46"/>
        <item x="116"/>
        <item x="51"/>
        <item x="36"/>
        <item x="76"/>
        <item x="117"/>
        <item x="175"/>
        <item x="29"/>
        <item x="160"/>
        <item x="136"/>
        <item x="157"/>
        <item x="50"/>
        <item x="61"/>
        <item x="109"/>
        <item x="24"/>
        <item x="28"/>
        <item x="86"/>
        <item x="53"/>
        <item x="150"/>
        <item x="184"/>
        <item x="1"/>
        <item x="89"/>
        <item x="34"/>
        <item x="77"/>
        <item x="165"/>
        <item x="149"/>
        <item x="41"/>
        <item x="159"/>
        <item x="55"/>
        <item x="171"/>
        <item x="13"/>
        <item x="33"/>
        <item x="90"/>
        <item x="84"/>
        <item x="183"/>
        <item x="173"/>
        <item x="140"/>
        <item x="107"/>
        <item x="134"/>
        <item x="54"/>
        <item x="37"/>
        <item x="75"/>
        <item x="66"/>
        <item x="87"/>
        <item x="7"/>
        <item x="170"/>
        <item t="default"/>
      </items>
    </pivotField>
    <pivotField showAll="0">
      <items count="3">
        <item x="0"/>
        <item x="1"/>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4">
    <field x="13"/>
    <field x="12"/>
    <field x="11"/>
    <field x="7"/>
  </rowFields>
  <rowItems count="8">
    <i>
      <x v="1"/>
    </i>
    <i>
      <x v="2"/>
    </i>
    <i>
      <x v="3"/>
    </i>
    <i>
      <x v="4"/>
    </i>
    <i>
      <x v="5"/>
    </i>
    <i>
      <x v="6"/>
    </i>
    <i>
      <x v="7"/>
    </i>
    <i t="grand">
      <x/>
    </i>
  </rowItems>
  <colItems count="1">
    <i/>
  </colItems>
  <dataFields count="1">
    <dataField name="Sum of Emp_ID"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EA0814-9E2E-4F5B-AAF4-763F8B4EC6DE}" autoFormatId="16" applyNumberFormats="0" applyBorderFormats="0" applyFontFormats="0" applyPatternFormats="0" applyAlignmentFormats="0" applyWidthHeightFormats="0">
  <queryTableRefresh nextId="12">
    <queryTableFields count="11">
      <queryTableField id="1" name="Emp_ID" tableColumnId="1"/>
      <queryTableField id="2" name="Name" tableColumnId="2"/>
      <queryTableField id="3" name="Gender" tableColumnId="3"/>
      <queryTableField id="4" name="Age" tableColumnId="4"/>
      <queryTableField id="5" name="Department" tableColumnId="5"/>
      <queryTableField id="6" name="Job_Role" tableColumnId="6"/>
      <queryTableField id="7" name="Salary" tableColumnId="7"/>
      <queryTableField id="8" name="Hire_Date" tableColumnId="8"/>
      <queryTableField id="9" name="Attrition" tableColumnId="9"/>
      <queryTableField id="10" name="Experience" tableColumnId="10"/>
      <queryTableField id="11" name="Performance_Rating"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36DE5AA-C131-4DE0-857B-4A4DA39FE087}" sourceName="Gender">
  <pivotTables>
    <pivotTable tabId="4" name="PivotTable2"/>
    <pivotTable tabId="4" name="PivotTable1"/>
    <pivotTable tabId="4" name="PivotTable3"/>
    <pivotTable tabId="4" name="PivotTable4"/>
  </pivotTables>
  <data>
    <tabular pivotCacheId="140782693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845D059-6CC6-48E3-A87D-A1816BB27BA2}" sourceName="Department">
  <pivotTables>
    <pivotTable tabId="4" name="PivotTable2"/>
    <pivotTable tabId="4" name="PivotTable1"/>
    <pivotTable tabId="4" name="PivotTable3"/>
    <pivotTable tabId="4" name="PivotTable4"/>
  </pivotTables>
  <data>
    <tabular pivotCacheId="1407826934">
      <items count="6">
        <i x="5" s="1"/>
        <i x="3" s="1"/>
        <i x="1"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EA2A92BF-4164-4275-B39E-97A5F693E1BD}" sourceName="Attrition">
  <pivotTables>
    <pivotTable tabId="4" name="PivotTable2"/>
    <pivotTable tabId="4" name="PivotTable1"/>
    <pivotTable tabId="4" name="PivotTable3"/>
    <pivotTable tabId="4" name="PivotTable4"/>
  </pivotTables>
  <data>
    <tabular pivotCacheId="140782693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Hire_Date" xr10:uid="{C78775F9-9267-4305-8896-E804DD20136F}" sourceName="Years (Hire_Date)">
  <pivotTables>
    <pivotTable tabId="4" name="PivotTable2"/>
    <pivotTable tabId="4" name="PivotTable1"/>
    <pivotTable tabId="4" name="PivotTable3"/>
    <pivotTable tabId="4" name="PivotTable4"/>
  </pivotTables>
  <data>
    <tabular pivotCacheId="1407826934">
      <items count="9">
        <i x="1" s="1"/>
        <i x="2" s="1"/>
        <i x="3" s="1"/>
        <i x="4" s="1"/>
        <i x="5" s="1"/>
        <i x="6" s="1"/>
        <i x="7" s="1"/>
        <i x="0"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9BCBF6D-716A-4239-B7FD-A7D6FF711B70}" cache="Slicer_Gender" caption="Gender" rowHeight="247650"/>
  <slicer name="Department" xr10:uid="{B3AF98AA-5135-4C0C-BE6C-1D6A0C77E6F1}" cache="Slicer_Department" caption="Department" rowHeight="247650"/>
  <slicer name="Attrition" xr10:uid="{C9770460-D3BD-4002-AC9F-CA666CD6A3FF}" cache="Slicer_Attrition" caption="Attrition" rowHeight="247650"/>
  <slicer name="Years (Hire_Date)" xr10:uid="{CA412F99-9C37-4F3B-8B9F-4844EB7003BA}" cache="Slicer_Years__Hire_Date" caption="Years (Hire_Dat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53CBAD-B42A-4E74-9D1F-6CEFEC82B56D}" name="HR_Analytics_Raw_Data_200_Rows" displayName="HR_Analytics_Raw_Data_200_Rows" ref="A1:K202" tableType="queryTable" totalsRowCount="1">
  <autoFilter ref="A1:K201" xr:uid="{5153CBAD-B42A-4E74-9D1F-6CEFEC82B56D}"/>
  <tableColumns count="11">
    <tableColumn id="1" xr3:uid="{FBAA3070-A4DA-4036-A426-B0F69B26C4B7}" uniqueName="1" name="Emp_ID" queryTableFieldId="1"/>
    <tableColumn id="2" xr3:uid="{8A6A46D1-9BCF-4DAA-A84B-0C0D212E4461}" uniqueName="2" name="Name" queryTableFieldId="2" dataDxfId="11" totalsRowDxfId="10"/>
    <tableColumn id="3" xr3:uid="{D6CBFFB3-4937-4650-844F-0AFAE15DA174}" uniqueName="3" name="Gender" queryTableFieldId="3" dataDxfId="9" totalsRowDxfId="8"/>
    <tableColumn id="4" xr3:uid="{04A477C5-3FC6-4F92-B621-8EF3656F9008}" uniqueName="4" name="Age" queryTableFieldId="4"/>
    <tableColumn id="5" xr3:uid="{DF592283-A443-41F2-A025-08515CC5C2EB}" uniqueName="5" name="Department" queryTableFieldId="5" dataDxfId="7" totalsRowDxfId="6"/>
    <tableColumn id="6" xr3:uid="{AEBEFC86-4717-43B4-998B-6F4F19A85221}" uniqueName="6" name="Job_Role" queryTableFieldId="6" dataDxfId="5" totalsRowDxfId="4"/>
    <tableColumn id="7" xr3:uid="{5DEFCFEE-75F6-4909-BC83-65414A2C036F}" uniqueName="7" name="Salary" queryTableFieldId="7"/>
    <tableColumn id="8" xr3:uid="{0B75F9D9-6E7B-49DB-8BA9-A0B7234EDABE}" uniqueName="8" name="Hire_Date" queryTableFieldId="8" dataDxfId="3" totalsRowDxfId="2"/>
    <tableColumn id="9" xr3:uid="{84A9039E-778D-43A6-891A-F3047A625CFD}" uniqueName="9" name="Attrition" queryTableFieldId="9" dataDxfId="1" totalsRowDxfId="0"/>
    <tableColumn id="10" xr3:uid="{B46FE036-59E2-4D0C-AF13-731B3D12A046}" uniqueName="10" name="Experience" queryTableFieldId="10"/>
    <tableColumn id="11" xr3:uid="{A40868C3-B844-42AA-BD22-BA8D05B84C5B}" uniqueName="11" name="Performance_Rating"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B5396-7DA4-4967-BFA7-0DCD93FC1C72}">
  <dimension ref="A1:K202"/>
  <sheetViews>
    <sheetView topLeftCell="A171" workbookViewId="0">
      <selection sqref="A1:K202"/>
    </sheetView>
  </sheetViews>
  <sheetFormatPr defaultRowHeight="14.4" x14ac:dyDescent="0.3"/>
  <cols>
    <col min="1" max="1" width="9.5546875" bestFit="1" customWidth="1"/>
    <col min="2" max="2" width="8.21875" bestFit="1" customWidth="1"/>
    <col min="3" max="3" width="9.33203125" bestFit="1" customWidth="1"/>
    <col min="4" max="4" width="6.21875" bestFit="1" customWidth="1"/>
    <col min="5" max="5" width="13.21875" bestFit="1" customWidth="1"/>
    <col min="6" max="6" width="17.44140625" bestFit="1" customWidth="1"/>
    <col min="7" max="7" width="8.44140625" bestFit="1" customWidth="1"/>
    <col min="8" max="8" width="11.44140625" bestFit="1" customWidth="1"/>
    <col min="9" max="9" width="10.109375" bestFit="1" customWidth="1"/>
    <col min="10" max="10" width="12.44140625" bestFit="1" customWidth="1"/>
    <col min="11" max="11" width="20.109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1001</v>
      </c>
      <c r="B2" t="s">
        <v>11</v>
      </c>
      <c r="C2" t="s">
        <v>12</v>
      </c>
      <c r="D2">
        <v>35</v>
      </c>
      <c r="E2" t="s">
        <v>13</v>
      </c>
      <c r="F2" t="s">
        <v>14</v>
      </c>
      <c r="G2">
        <v>64388</v>
      </c>
      <c r="H2" s="1">
        <v>43636</v>
      </c>
      <c r="I2" t="s">
        <v>15</v>
      </c>
      <c r="J2">
        <v>5</v>
      </c>
      <c r="K2">
        <v>3</v>
      </c>
    </row>
    <row r="3" spans="1:11" x14ac:dyDescent="0.3">
      <c r="A3">
        <v>1002</v>
      </c>
      <c r="B3" t="s">
        <v>16</v>
      </c>
      <c r="C3" t="s">
        <v>17</v>
      </c>
      <c r="D3">
        <v>30</v>
      </c>
      <c r="E3" t="s">
        <v>18</v>
      </c>
      <c r="F3" t="s">
        <v>19</v>
      </c>
      <c r="G3">
        <v>76097</v>
      </c>
      <c r="H3" s="1">
        <v>45356</v>
      </c>
      <c r="I3" t="s">
        <v>15</v>
      </c>
      <c r="J3">
        <v>8</v>
      </c>
      <c r="K3">
        <v>5</v>
      </c>
    </row>
    <row r="4" spans="1:11" x14ac:dyDescent="0.3">
      <c r="A4">
        <v>1003</v>
      </c>
      <c r="B4" t="s">
        <v>20</v>
      </c>
      <c r="C4" t="s">
        <v>12</v>
      </c>
      <c r="D4">
        <v>30</v>
      </c>
      <c r="E4" t="s">
        <v>21</v>
      </c>
      <c r="F4" t="s">
        <v>22</v>
      </c>
      <c r="G4">
        <v>30865</v>
      </c>
      <c r="H4" s="1">
        <v>44667</v>
      </c>
      <c r="I4" t="s">
        <v>15</v>
      </c>
      <c r="J4">
        <v>10</v>
      </c>
      <c r="K4">
        <v>4</v>
      </c>
    </row>
    <row r="5" spans="1:11" x14ac:dyDescent="0.3">
      <c r="A5">
        <v>1004</v>
      </c>
      <c r="B5" t="s">
        <v>23</v>
      </c>
      <c r="C5" t="s">
        <v>17</v>
      </c>
      <c r="D5">
        <v>29</v>
      </c>
      <c r="E5" t="s">
        <v>24</v>
      </c>
      <c r="F5" t="s">
        <v>25</v>
      </c>
      <c r="G5">
        <v>56410</v>
      </c>
      <c r="H5" s="1">
        <v>44864</v>
      </c>
      <c r="I5" t="s">
        <v>15</v>
      </c>
      <c r="J5">
        <v>14</v>
      </c>
      <c r="K5">
        <v>2</v>
      </c>
    </row>
    <row r="6" spans="1:11" x14ac:dyDescent="0.3">
      <c r="A6">
        <v>1005</v>
      </c>
      <c r="B6" t="s">
        <v>26</v>
      </c>
      <c r="C6" t="s">
        <v>17</v>
      </c>
      <c r="D6">
        <v>39</v>
      </c>
      <c r="E6" t="s">
        <v>18</v>
      </c>
      <c r="F6" t="s">
        <v>19</v>
      </c>
      <c r="G6">
        <v>32191</v>
      </c>
      <c r="H6" s="1">
        <v>43645</v>
      </c>
      <c r="I6" t="s">
        <v>15</v>
      </c>
      <c r="J6">
        <v>1</v>
      </c>
      <c r="K6">
        <v>5</v>
      </c>
    </row>
    <row r="7" spans="1:11" x14ac:dyDescent="0.3">
      <c r="A7">
        <v>1006</v>
      </c>
      <c r="B7" t="s">
        <v>26</v>
      </c>
      <c r="C7" t="s">
        <v>12</v>
      </c>
      <c r="D7">
        <v>32</v>
      </c>
      <c r="E7" t="s">
        <v>18</v>
      </c>
      <c r="F7" t="s">
        <v>27</v>
      </c>
      <c r="G7">
        <v>47490</v>
      </c>
      <c r="H7" s="1">
        <v>43223</v>
      </c>
      <c r="I7" t="s">
        <v>15</v>
      </c>
      <c r="J7">
        <v>12</v>
      </c>
      <c r="K7">
        <v>4</v>
      </c>
    </row>
    <row r="8" spans="1:11" x14ac:dyDescent="0.3">
      <c r="A8">
        <v>1007</v>
      </c>
      <c r="B8" t="s">
        <v>28</v>
      </c>
      <c r="C8" t="s">
        <v>12</v>
      </c>
      <c r="D8">
        <v>38</v>
      </c>
      <c r="E8" t="s">
        <v>21</v>
      </c>
      <c r="F8" t="s">
        <v>22</v>
      </c>
      <c r="G8">
        <v>40104</v>
      </c>
      <c r="H8" s="1">
        <v>44197</v>
      </c>
      <c r="I8" t="s">
        <v>15</v>
      </c>
      <c r="J8">
        <v>10</v>
      </c>
      <c r="K8">
        <v>5</v>
      </c>
    </row>
    <row r="9" spans="1:11" x14ac:dyDescent="0.3">
      <c r="A9">
        <v>1008</v>
      </c>
      <c r="B9" t="s">
        <v>29</v>
      </c>
      <c r="C9" t="s">
        <v>17</v>
      </c>
      <c r="D9">
        <v>26</v>
      </c>
      <c r="E9" t="s">
        <v>24</v>
      </c>
      <c r="F9" t="s">
        <v>25</v>
      </c>
      <c r="G9">
        <v>31738</v>
      </c>
      <c r="H9" s="1">
        <v>45618</v>
      </c>
      <c r="I9" t="s">
        <v>15</v>
      </c>
      <c r="J9">
        <v>15</v>
      </c>
      <c r="K9">
        <v>2</v>
      </c>
    </row>
    <row r="10" spans="1:11" x14ac:dyDescent="0.3">
      <c r="A10">
        <v>1009</v>
      </c>
      <c r="B10" t="s">
        <v>30</v>
      </c>
      <c r="C10" t="s">
        <v>17</v>
      </c>
      <c r="D10">
        <v>41</v>
      </c>
      <c r="E10" t="s">
        <v>18</v>
      </c>
      <c r="F10" t="s">
        <v>27</v>
      </c>
      <c r="G10">
        <v>55846</v>
      </c>
      <c r="H10" s="1">
        <v>44358</v>
      </c>
      <c r="I10" t="s">
        <v>15</v>
      </c>
      <c r="J10">
        <v>12</v>
      </c>
      <c r="K10">
        <v>5</v>
      </c>
    </row>
    <row r="11" spans="1:11" x14ac:dyDescent="0.3">
      <c r="A11">
        <v>1010</v>
      </c>
      <c r="B11" t="s">
        <v>31</v>
      </c>
      <c r="C11" t="s">
        <v>17</v>
      </c>
      <c r="D11">
        <v>39</v>
      </c>
      <c r="E11" t="s">
        <v>21</v>
      </c>
      <c r="F11" t="s">
        <v>32</v>
      </c>
      <c r="G11">
        <v>75190</v>
      </c>
      <c r="H11" s="1">
        <v>43623</v>
      </c>
      <c r="I11" t="s">
        <v>33</v>
      </c>
      <c r="J11">
        <v>10</v>
      </c>
      <c r="K11">
        <v>4</v>
      </c>
    </row>
    <row r="12" spans="1:11" x14ac:dyDescent="0.3">
      <c r="A12">
        <v>1011</v>
      </c>
      <c r="B12" t="s">
        <v>30</v>
      </c>
      <c r="C12" t="s">
        <v>12</v>
      </c>
      <c r="D12">
        <v>38</v>
      </c>
      <c r="E12" t="s">
        <v>21</v>
      </c>
      <c r="F12" t="s">
        <v>22</v>
      </c>
      <c r="G12">
        <v>46977</v>
      </c>
      <c r="H12" s="1">
        <v>43499</v>
      </c>
      <c r="I12" t="s">
        <v>33</v>
      </c>
      <c r="J12">
        <v>10</v>
      </c>
      <c r="K12">
        <v>5</v>
      </c>
    </row>
    <row r="13" spans="1:11" x14ac:dyDescent="0.3">
      <c r="A13">
        <v>1012</v>
      </c>
      <c r="B13" t="s">
        <v>20</v>
      </c>
      <c r="C13" t="s">
        <v>17</v>
      </c>
      <c r="D13">
        <v>28</v>
      </c>
      <c r="E13" t="s">
        <v>34</v>
      </c>
      <c r="F13" t="s">
        <v>35</v>
      </c>
      <c r="G13">
        <v>42955</v>
      </c>
      <c r="H13" s="1">
        <v>43396</v>
      </c>
      <c r="I13" t="s">
        <v>33</v>
      </c>
      <c r="J13">
        <v>5</v>
      </c>
      <c r="K13">
        <v>2</v>
      </c>
    </row>
    <row r="14" spans="1:11" x14ac:dyDescent="0.3">
      <c r="A14">
        <v>1013</v>
      </c>
      <c r="B14" t="s">
        <v>36</v>
      </c>
      <c r="C14" t="s">
        <v>12</v>
      </c>
      <c r="D14">
        <v>31</v>
      </c>
      <c r="E14" t="s">
        <v>18</v>
      </c>
      <c r="F14" t="s">
        <v>37</v>
      </c>
      <c r="G14">
        <v>75266</v>
      </c>
      <c r="H14" s="1">
        <v>43842</v>
      </c>
      <c r="I14" t="s">
        <v>15</v>
      </c>
      <c r="J14">
        <v>10</v>
      </c>
      <c r="K14">
        <v>2</v>
      </c>
    </row>
    <row r="15" spans="1:11" x14ac:dyDescent="0.3">
      <c r="A15">
        <v>1014</v>
      </c>
      <c r="B15" t="s">
        <v>30</v>
      </c>
      <c r="C15" t="s">
        <v>12</v>
      </c>
      <c r="D15">
        <v>35</v>
      </c>
      <c r="E15" t="s">
        <v>13</v>
      </c>
      <c r="F15" t="s">
        <v>38</v>
      </c>
      <c r="G15">
        <v>49132</v>
      </c>
      <c r="H15" s="1">
        <v>45488</v>
      </c>
      <c r="I15" t="s">
        <v>15</v>
      </c>
      <c r="J15">
        <v>15</v>
      </c>
      <c r="K15">
        <v>4</v>
      </c>
    </row>
    <row r="16" spans="1:11" x14ac:dyDescent="0.3">
      <c r="A16">
        <v>1015</v>
      </c>
      <c r="B16" t="s">
        <v>16</v>
      </c>
      <c r="C16" t="s">
        <v>17</v>
      </c>
      <c r="D16">
        <v>35</v>
      </c>
      <c r="E16" t="s">
        <v>18</v>
      </c>
      <c r="F16" t="s">
        <v>39</v>
      </c>
      <c r="G16">
        <v>71031</v>
      </c>
      <c r="H16" s="1">
        <v>43141</v>
      </c>
      <c r="I16" t="s">
        <v>33</v>
      </c>
      <c r="J16">
        <v>13</v>
      </c>
      <c r="K16">
        <v>4</v>
      </c>
    </row>
    <row r="17" spans="1:11" x14ac:dyDescent="0.3">
      <c r="A17">
        <v>1016</v>
      </c>
      <c r="B17" t="s">
        <v>23</v>
      </c>
      <c r="C17" t="s">
        <v>17</v>
      </c>
      <c r="D17">
        <v>31</v>
      </c>
      <c r="E17" t="s">
        <v>21</v>
      </c>
      <c r="F17" t="s">
        <v>32</v>
      </c>
      <c r="G17">
        <v>43581</v>
      </c>
      <c r="H17" s="1">
        <v>44503</v>
      </c>
      <c r="I17" t="s">
        <v>15</v>
      </c>
      <c r="J17">
        <v>14</v>
      </c>
      <c r="K17">
        <v>4</v>
      </c>
    </row>
    <row r="18" spans="1:11" x14ac:dyDescent="0.3">
      <c r="A18">
        <v>1017</v>
      </c>
      <c r="B18" t="s">
        <v>23</v>
      </c>
      <c r="C18" t="s">
        <v>12</v>
      </c>
      <c r="D18">
        <v>27</v>
      </c>
      <c r="E18" t="s">
        <v>13</v>
      </c>
      <c r="F18" t="s">
        <v>14</v>
      </c>
      <c r="G18">
        <v>80513</v>
      </c>
      <c r="H18" s="1">
        <v>43319</v>
      </c>
      <c r="I18" t="s">
        <v>15</v>
      </c>
      <c r="J18">
        <v>11</v>
      </c>
      <c r="K18">
        <v>4</v>
      </c>
    </row>
    <row r="19" spans="1:11" x14ac:dyDescent="0.3">
      <c r="A19">
        <v>1018</v>
      </c>
      <c r="B19" t="s">
        <v>40</v>
      </c>
      <c r="C19" t="s">
        <v>12</v>
      </c>
      <c r="D19">
        <v>45</v>
      </c>
      <c r="E19" t="s">
        <v>18</v>
      </c>
      <c r="F19" t="s">
        <v>37</v>
      </c>
      <c r="G19">
        <v>27081</v>
      </c>
      <c r="H19" s="1">
        <v>43324</v>
      </c>
      <c r="I19" t="s">
        <v>15</v>
      </c>
      <c r="J19">
        <v>13</v>
      </c>
      <c r="K19">
        <v>3</v>
      </c>
    </row>
    <row r="20" spans="1:11" x14ac:dyDescent="0.3">
      <c r="A20">
        <v>1019</v>
      </c>
      <c r="B20" t="s">
        <v>41</v>
      </c>
      <c r="C20" t="s">
        <v>12</v>
      </c>
      <c r="D20">
        <v>44</v>
      </c>
      <c r="E20" t="s">
        <v>42</v>
      </c>
      <c r="F20" t="s">
        <v>43</v>
      </c>
      <c r="G20">
        <v>43332</v>
      </c>
      <c r="H20" s="1">
        <v>43178</v>
      </c>
      <c r="I20" t="s">
        <v>15</v>
      </c>
      <c r="J20">
        <v>11</v>
      </c>
      <c r="K20">
        <v>3</v>
      </c>
    </row>
    <row r="21" spans="1:11" x14ac:dyDescent="0.3">
      <c r="A21">
        <v>1020</v>
      </c>
      <c r="B21" t="s">
        <v>44</v>
      </c>
      <c r="C21" t="s">
        <v>12</v>
      </c>
      <c r="D21">
        <v>38</v>
      </c>
      <c r="E21" t="s">
        <v>21</v>
      </c>
      <c r="F21" t="s">
        <v>22</v>
      </c>
      <c r="G21">
        <v>51193</v>
      </c>
      <c r="H21" s="1">
        <v>43647</v>
      </c>
      <c r="I21" t="s">
        <v>15</v>
      </c>
      <c r="J21">
        <v>11</v>
      </c>
      <c r="K21">
        <v>5</v>
      </c>
    </row>
    <row r="22" spans="1:11" x14ac:dyDescent="0.3">
      <c r="A22">
        <v>1021</v>
      </c>
      <c r="B22" t="s">
        <v>45</v>
      </c>
      <c r="C22" t="s">
        <v>12</v>
      </c>
      <c r="D22">
        <v>24</v>
      </c>
      <c r="E22" t="s">
        <v>21</v>
      </c>
      <c r="F22" t="s">
        <v>22</v>
      </c>
      <c r="G22">
        <v>50995</v>
      </c>
      <c r="H22" s="1">
        <v>43858</v>
      </c>
      <c r="I22" t="s">
        <v>33</v>
      </c>
      <c r="J22">
        <v>15</v>
      </c>
      <c r="K22">
        <v>2</v>
      </c>
    </row>
    <row r="23" spans="1:11" x14ac:dyDescent="0.3">
      <c r="A23">
        <v>1022</v>
      </c>
      <c r="B23" t="s">
        <v>20</v>
      </c>
      <c r="C23" t="s">
        <v>12</v>
      </c>
      <c r="D23">
        <v>32</v>
      </c>
      <c r="E23" t="s">
        <v>34</v>
      </c>
      <c r="F23" t="s">
        <v>46</v>
      </c>
      <c r="G23">
        <v>89601</v>
      </c>
      <c r="H23" s="1">
        <v>44397</v>
      </c>
      <c r="I23" t="s">
        <v>15</v>
      </c>
      <c r="J23">
        <v>3</v>
      </c>
      <c r="K23">
        <v>4</v>
      </c>
    </row>
    <row r="24" spans="1:11" x14ac:dyDescent="0.3">
      <c r="A24">
        <v>1023</v>
      </c>
      <c r="B24" t="s">
        <v>20</v>
      </c>
      <c r="C24" t="s">
        <v>17</v>
      </c>
      <c r="D24">
        <v>28</v>
      </c>
      <c r="E24" t="s">
        <v>42</v>
      </c>
      <c r="F24" t="s">
        <v>47</v>
      </c>
      <c r="G24">
        <v>60206</v>
      </c>
      <c r="H24" s="1">
        <v>43460</v>
      </c>
      <c r="I24" t="s">
        <v>33</v>
      </c>
      <c r="J24">
        <v>12</v>
      </c>
      <c r="K24">
        <v>3</v>
      </c>
    </row>
    <row r="25" spans="1:11" x14ac:dyDescent="0.3">
      <c r="A25">
        <v>1024</v>
      </c>
      <c r="B25" t="s">
        <v>26</v>
      </c>
      <c r="C25" t="s">
        <v>17</v>
      </c>
      <c r="D25">
        <v>29</v>
      </c>
      <c r="E25" t="s">
        <v>24</v>
      </c>
      <c r="F25" t="s">
        <v>25</v>
      </c>
      <c r="G25">
        <v>56371</v>
      </c>
      <c r="H25" s="1">
        <v>44235</v>
      </c>
      <c r="I25" t="s">
        <v>15</v>
      </c>
      <c r="J25">
        <v>4</v>
      </c>
      <c r="K25">
        <v>3</v>
      </c>
    </row>
    <row r="26" spans="1:11" x14ac:dyDescent="0.3">
      <c r="A26">
        <v>1025</v>
      </c>
      <c r="B26" t="s">
        <v>20</v>
      </c>
      <c r="C26" t="s">
        <v>17</v>
      </c>
      <c r="D26">
        <v>44</v>
      </c>
      <c r="E26" t="s">
        <v>21</v>
      </c>
      <c r="F26" t="s">
        <v>32</v>
      </c>
      <c r="G26">
        <v>73888</v>
      </c>
      <c r="H26" s="1">
        <v>45212</v>
      </c>
      <c r="I26" t="s">
        <v>15</v>
      </c>
      <c r="J26">
        <v>10</v>
      </c>
      <c r="K26">
        <v>2</v>
      </c>
    </row>
    <row r="27" spans="1:11" x14ac:dyDescent="0.3">
      <c r="A27">
        <v>1026</v>
      </c>
      <c r="B27" t="s">
        <v>48</v>
      </c>
      <c r="C27" t="s">
        <v>12</v>
      </c>
      <c r="D27">
        <v>28</v>
      </c>
      <c r="E27" t="s">
        <v>21</v>
      </c>
      <c r="F27" t="s">
        <v>32</v>
      </c>
      <c r="G27">
        <v>70876</v>
      </c>
      <c r="H27" s="1">
        <v>44403</v>
      </c>
      <c r="I27" t="s">
        <v>15</v>
      </c>
      <c r="J27">
        <v>14</v>
      </c>
      <c r="K27">
        <v>5</v>
      </c>
    </row>
    <row r="28" spans="1:11" x14ac:dyDescent="0.3">
      <c r="A28">
        <v>1027</v>
      </c>
      <c r="B28" t="s">
        <v>49</v>
      </c>
      <c r="C28" t="s">
        <v>12</v>
      </c>
      <c r="D28">
        <v>39</v>
      </c>
      <c r="E28" t="s">
        <v>18</v>
      </c>
      <c r="F28" t="s">
        <v>39</v>
      </c>
      <c r="G28">
        <v>66174</v>
      </c>
      <c r="H28" s="1">
        <v>44639</v>
      </c>
      <c r="I28" t="s">
        <v>15</v>
      </c>
      <c r="J28">
        <v>13</v>
      </c>
      <c r="K28">
        <v>5</v>
      </c>
    </row>
    <row r="29" spans="1:11" x14ac:dyDescent="0.3">
      <c r="A29">
        <v>1028</v>
      </c>
      <c r="B29" t="s">
        <v>49</v>
      </c>
      <c r="C29" t="s">
        <v>17</v>
      </c>
      <c r="D29">
        <v>42</v>
      </c>
      <c r="E29" t="s">
        <v>21</v>
      </c>
      <c r="F29" t="s">
        <v>32</v>
      </c>
      <c r="G29">
        <v>80920</v>
      </c>
      <c r="H29" s="1">
        <v>44344</v>
      </c>
      <c r="I29" t="s">
        <v>15</v>
      </c>
      <c r="J29">
        <v>8</v>
      </c>
      <c r="K29">
        <v>2</v>
      </c>
    </row>
    <row r="30" spans="1:11" x14ac:dyDescent="0.3">
      <c r="A30">
        <v>1029</v>
      </c>
      <c r="B30" t="s">
        <v>20</v>
      </c>
      <c r="C30" t="s">
        <v>12</v>
      </c>
      <c r="D30">
        <v>26</v>
      </c>
      <c r="E30" t="s">
        <v>42</v>
      </c>
      <c r="F30" t="s">
        <v>43</v>
      </c>
      <c r="G30">
        <v>26740</v>
      </c>
      <c r="H30" s="1">
        <v>45228</v>
      </c>
      <c r="I30" t="s">
        <v>15</v>
      </c>
      <c r="J30">
        <v>1</v>
      </c>
      <c r="K30">
        <v>5</v>
      </c>
    </row>
    <row r="31" spans="1:11" x14ac:dyDescent="0.3">
      <c r="A31">
        <v>1030</v>
      </c>
      <c r="B31" t="s">
        <v>44</v>
      </c>
      <c r="C31" t="s">
        <v>17</v>
      </c>
      <c r="D31">
        <v>41</v>
      </c>
      <c r="E31" t="s">
        <v>13</v>
      </c>
      <c r="F31" t="s">
        <v>38</v>
      </c>
      <c r="G31">
        <v>32093</v>
      </c>
      <c r="H31" s="1">
        <v>45167</v>
      </c>
      <c r="I31" t="s">
        <v>15</v>
      </c>
      <c r="J31">
        <v>15</v>
      </c>
      <c r="K31">
        <v>5</v>
      </c>
    </row>
    <row r="32" spans="1:11" x14ac:dyDescent="0.3">
      <c r="A32">
        <v>1031</v>
      </c>
      <c r="B32" t="s">
        <v>30</v>
      </c>
      <c r="C32" t="s">
        <v>17</v>
      </c>
      <c r="D32">
        <v>33</v>
      </c>
      <c r="E32" t="s">
        <v>42</v>
      </c>
      <c r="F32" t="s">
        <v>43</v>
      </c>
      <c r="G32">
        <v>68163</v>
      </c>
      <c r="H32" s="1">
        <v>43757</v>
      </c>
      <c r="I32" t="s">
        <v>15</v>
      </c>
      <c r="J32">
        <v>3</v>
      </c>
      <c r="K32">
        <v>5</v>
      </c>
    </row>
    <row r="33" spans="1:11" x14ac:dyDescent="0.3">
      <c r="A33">
        <v>1032</v>
      </c>
      <c r="B33" t="s">
        <v>31</v>
      </c>
      <c r="C33" t="s">
        <v>17</v>
      </c>
      <c r="D33">
        <v>33</v>
      </c>
      <c r="E33" t="s">
        <v>24</v>
      </c>
      <c r="F33" t="s">
        <v>50</v>
      </c>
      <c r="G33">
        <v>43981</v>
      </c>
      <c r="H33" s="1">
        <v>43250</v>
      </c>
      <c r="I33" t="s">
        <v>15</v>
      </c>
      <c r="J33">
        <v>2</v>
      </c>
      <c r="K33">
        <v>2</v>
      </c>
    </row>
    <row r="34" spans="1:11" x14ac:dyDescent="0.3">
      <c r="A34">
        <v>1033</v>
      </c>
      <c r="B34" t="s">
        <v>26</v>
      </c>
      <c r="C34" t="s">
        <v>12</v>
      </c>
      <c r="D34">
        <v>29</v>
      </c>
      <c r="E34" t="s">
        <v>21</v>
      </c>
      <c r="F34" t="s">
        <v>32</v>
      </c>
      <c r="G34">
        <v>45836</v>
      </c>
      <c r="H34" s="1">
        <v>43819</v>
      </c>
      <c r="I34" t="s">
        <v>15</v>
      </c>
      <c r="J34">
        <v>6</v>
      </c>
      <c r="K34">
        <v>2</v>
      </c>
    </row>
    <row r="35" spans="1:11" x14ac:dyDescent="0.3">
      <c r="A35">
        <v>1034</v>
      </c>
      <c r="B35" t="s">
        <v>16</v>
      </c>
      <c r="C35" t="s">
        <v>12</v>
      </c>
      <c r="D35">
        <v>43</v>
      </c>
      <c r="E35" t="s">
        <v>18</v>
      </c>
      <c r="F35" t="s">
        <v>19</v>
      </c>
      <c r="G35">
        <v>70043</v>
      </c>
      <c r="H35" s="1">
        <v>45495</v>
      </c>
      <c r="I35" t="s">
        <v>33</v>
      </c>
      <c r="J35">
        <v>5</v>
      </c>
      <c r="K35">
        <v>5</v>
      </c>
    </row>
    <row r="36" spans="1:11" x14ac:dyDescent="0.3">
      <c r="A36">
        <v>1035</v>
      </c>
      <c r="B36" t="s">
        <v>51</v>
      </c>
      <c r="C36" t="s">
        <v>17</v>
      </c>
      <c r="D36">
        <v>42</v>
      </c>
      <c r="E36" t="s">
        <v>13</v>
      </c>
      <c r="F36" t="s">
        <v>14</v>
      </c>
      <c r="G36">
        <v>58086</v>
      </c>
      <c r="H36" s="1">
        <v>45372</v>
      </c>
      <c r="I36" t="s">
        <v>15</v>
      </c>
      <c r="J36">
        <v>4</v>
      </c>
      <c r="K36">
        <v>4</v>
      </c>
    </row>
    <row r="37" spans="1:11" x14ac:dyDescent="0.3">
      <c r="A37">
        <v>1036</v>
      </c>
      <c r="B37" t="s">
        <v>48</v>
      </c>
      <c r="C37" t="s">
        <v>17</v>
      </c>
      <c r="D37">
        <v>25</v>
      </c>
      <c r="E37" t="s">
        <v>21</v>
      </c>
      <c r="F37" t="s">
        <v>32</v>
      </c>
      <c r="G37">
        <v>37260</v>
      </c>
      <c r="H37" s="1">
        <v>44522</v>
      </c>
      <c r="I37" t="s">
        <v>15</v>
      </c>
      <c r="J37">
        <v>1</v>
      </c>
      <c r="K37">
        <v>4</v>
      </c>
    </row>
    <row r="38" spans="1:11" x14ac:dyDescent="0.3">
      <c r="A38">
        <v>1037</v>
      </c>
      <c r="B38" t="s">
        <v>31</v>
      </c>
      <c r="C38" t="s">
        <v>17</v>
      </c>
      <c r="D38">
        <v>34</v>
      </c>
      <c r="E38" t="s">
        <v>34</v>
      </c>
      <c r="F38" t="s">
        <v>35</v>
      </c>
      <c r="G38">
        <v>36804</v>
      </c>
      <c r="H38" s="1">
        <v>45125</v>
      </c>
      <c r="I38" t="s">
        <v>15</v>
      </c>
      <c r="J38">
        <v>4</v>
      </c>
      <c r="K38">
        <v>4</v>
      </c>
    </row>
    <row r="39" spans="1:11" x14ac:dyDescent="0.3">
      <c r="A39">
        <v>1038</v>
      </c>
      <c r="B39" t="s">
        <v>52</v>
      </c>
      <c r="C39" t="s">
        <v>12</v>
      </c>
      <c r="D39">
        <v>43</v>
      </c>
      <c r="E39" t="s">
        <v>34</v>
      </c>
      <c r="F39" t="s">
        <v>35</v>
      </c>
      <c r="G39">
        <v>56195</v>
      </c>
      <c r="H39" s="1">
        <v>45592</v>
      </c>
      <c r="I39" t="s">
        <v>15</v>
      </c>
      <c r="J39">
        <v>3</v>
      </c>
      <c r="K39">
        <v>3</v>
      </c>
    </row>
    <row r="40" spans="1:11" x14ac:dyDescent="0.3">
      <c r="A40">
        <v>1039</v>
      </c>
      <c r="B40" t="s">
        <v>29</v>
      </c>
      <c r="C40" t="s">
        <v>17</v>
      </c>
      <c r="D40">
        <v>22</v>
      </c>
      <c r="E40" t="s">
        <v>21</v>
      </c>
      <c r="F40" t="s">
        <v>32</v>
      </c>
      <c r="G40">
        <v>71205</v>
      </c>
      <c r="H40" s="1">
        <v>43341</v>
      </c>
      <c r="I40" t="s">
        <v>15</v>
      </c>
      <c r="J40">
        <v>12</v>
      </c>
      <c r="K40">
        <v>4</v>
      </c>
    </row>
    <row r="41" spans="1:11" x14ac:dyDescent="0.3">
      <c r="A41">
        <v>1040</v>
      </c>
      <c r="B41" t="s">
        <v>36</v>
      </c>
      <c r="C41" t="s">
        <v>12</v>
      </c>
      <c r="D41">
        <v>39</v>
      </c>
      <c r="E41" t="s">
        <v>42</v>
      </c>
      <c r="F41" t="s">
        <v>47</v>
      </c>
      <c r="G41">
        <v>65378</v>
      </c>
      <c r="H41" s="1">
        <v>43711</v>
      </c>
      <c r="I41" t="s">
        <v>15</v>
      </c>
      <c r="J41">
        <v>1</v>
      </c>
      <c r="K41">
        <v>3</v>
      </c>
    </row>
    <row r="42" spans="1:11" x14ac:dyDescent="0.3">
      <c r="A42">
        <v>1041</v>
      </c>
      <c r="B42" t="s">
        <v>11</v>
      </c>
      <c r="C42" t="s">
        <v>17</v>
      </c>
      <c r="D42">
        <v>35</v>
      </c>
      <c r="E42" t="s">
        <v>24</v>
      </c>
      <c r="F42" t="s">
        <v>25</v>
      </c>
      <c r="G42">
        <v>43193</v>
      </c>
      <c r="H42" s="1">
        <v>44425</v>
      </c>
      <c r="I42" t="s">
        <v>15</v>
      </c>
      <c r="J42">
        <v>7</v>
      </c>
      <c r="K42">
        <v>5</v>
      </c>
    </row>
    <row r="43" spans="1:11" x14ac:dyDescent="0.3">
      <c r="A43">
        <v>1042</v>
      </c>
      <c r="B43" t="s">
        <v>23</v>
      </c>
      <c r="C43" t="s">
        <v>17</v>
      </c>
      <c r="D43">
        <v>22</v>
      </c>
      <c r="E43" t="s">
        <v>21</v>
      </c>
      <c r="F43" t="s">
        <v>32</v>
      </c>
      <c r="G43">
        <v>33515</v>
      </c>
      <c r="H43" s="1">
        <v>45448</v>
      </c>
      <c r="I43" t="s">
        <v>15</v>
      </c>
      <c r="J43">
        <v>7</v>
      </c>
      <c r="K43">
        <v>5</v>
      </c>
    </row>
    <row r="44" spans="1:11" x14ac:dyDescent="0.3">
      <c r="A44">
        <v>1043</v>
      </c>
      <c r="B44" t="s">
        <v>40</v>
      </c>
      <c r="C44" t="s">
        <v>12</v>
      </c>
      <c r="D44">
        <v>30</v>
      </c>
      <c r="E44" t="s">
        <v>24</v>
      </c>
      <c r="F44" t="s">
        <v>50</v>
      </c>
      <c r="G44">
        <v>67240</v>
      </c>
      <c r="H44" s="1">
        <v>43563</v>
      </c>
      <c r="I44" t="s">
        <v>33</v>
      </c>
      <c r="J44">
        <v>10</v>
      </c>
      <c r="K44">
        <v>3</v>
      </c>
    </row>
    <row r="45" spans="1:11" x14ac:dyDescent="0.3">
      <c r="A45">
        <v>1044</v>
      </c>
      <c r="B45" t="s">
        <v>40</v>
      </c>
      <c r="C45" t="s">
        <v>12</v>
      </c>
      <c r="D45">
        <v>33</v>
      </c>
      <c r="E45" t="s">
        <v>21</v>
      </c>
      <c r="F45" t="s">
        <v>22</v>
      </c>
      <c r="G45">
        <v>64777</v>
      </c>
      <c r="H45" s="1">
        <v>44879</v>
      </c>
      <c r="I45" t="s">
        <v>15</v>
      </c>
      <c r="J45">
        <v>6</v>
      </c>
      <c r="K45">
        <v>5</v>
      </c>
    </row>
    <row r="46" spans="1:11" x14ac:dyDescent="0.3">
      <c r="A46">
        <v>1045</v>
      </c>
      <c r="B46" t="s">
        <v>20</v>
      </c>
      <c r="C46" t="s">
        <v>17</v>
      </c>
      <c r="D46">
        <v>32</v>
      </c>
      <c r="E46" t="s">
        <v>21</v>
      </c>
      <c r="F46" t="s">
        <v>32</v>
      </c>
      <c r="G46">
        <v>59537</v>
      </c>
      <c r="H46" s="1">
        <v>44285</v>
      </c>
      <c r="I46" t="s">
        <v>33</v>
      </c>
      <c r="J46">
        <v>11</v>
      </c>
      <c r="K46">
        <v>4</v>
      </c>
    </row>
    <row r="47" spans="1:11" x14ac:dyDescent="0.3">
      <c r="A47">
        <v>1046</v>
      </c>
      <c r="B47" t="s">
        <v>23</v>
      </c>
      <c r="C47" t="s">
        <v>17</v>
      </c>
      <c r="D47">
        <v>35</v>
      </c>
      <c r="E47" t="s">
        <v>18</v>
      </c>
      <c r="F47" t="s">
        <v>27</v>
      </c>
      <c r="G47">
        <v>53844</v>
      </c>
      <c r="H47" s="1">
        <v>44991</v>
      </c>
      <c r="I47" t="s">
        <v>33</v>
      </c>
      <c r="J47">
        <v>9</v>
      </c>
      <c r="K47">
        <v>4</v>
      </c>
    </row>
    <row r="48" spans="1:11" x14ac:dyDescent="0.3">
      <c r="A48">
        <v>1047</v>
      </c>
      <c r="B48" t="s">
        <v>30</v>
      </c>
      <c r="C48" t="s">
        <v>17</v>
      </c>
      <c r="D48">
        <v>32</v>
      </c>
      <c r="E48" t="s">
        <v>24</v>
      </c>
      <c r="F48" t="s">
        <v>25</v>
      </c>
      <c r="G48">
        <v>47337</v>
      </c>
      <c r="H48" s="1">
        <v>45041</v>
      </c>
      <c r="I48" t="s">
        <v>15</v>
      </c>
      <c r="J48">
        <v>4</v>
      </c>
      <c r="K48">
        <v>5</v>
      </c>
    </row>
    <row r="49" spans="1:11" x14ac:dyDescent="0.3">
      <c r="A49">
        <v>1048</v>
      </c>
      <c r="B49" t="s">
        <v>45</v>
      </c>
      <c r="C49" t="s">
        <v>17</v>
      </c>
      <c r="D49">
        <v>22</v>
      </c>
      <c r="E49" t="s">
        <v>34</v>
      </c>
      <c r="F49" t="s">
        <v>46</v>
      </c>
      <c r="G49">
        <v>64129</v>
      </c>
      <c r="H49" s="1">
        <v>44832</v>
      </c>
      <c r="I49" t="s">
        <v>15</v>
      </c>
      <c r="J49">
        <v>4</v>
      </c>
      <c r="K49">
        <v>3</v>
      </c>
    </row>
    <row r="50" spans="1:11" x14ac:dyDescent="0.3">
      <c r="A50">
        <v>1049</v>
      </c>
      <c r="B50" t="s">
        <v>36</v>
      </c>
      <c r="C50" t="s">
        <v>12</v>
      </c>
      <c r="D50">
        <v>30</v>
      </c>
      <c r="E50" t="s">
        <v>34</v>
      </c>
      <c r="F50" t="s">
        <v>35</v>
      </c>
      <c r="G50">
        <v>56578</v>
      </c>
      <c r="H50" s="1">
        <v>44399</v>
      </c>
      <c r="I50" t="s">
        <v>15</v>
      </c>
      <c r="J50">
        <v>7</v>
      </c>
      <c r="K50">
        <v>3</v>
      </c>
    </row>
    <row r="51" spans="1:11" x14ac:dyDescent="0.3">
      <c r="A51">
        <v>1050</v>
      </c>
      <c r="B51" t="s">
        <v>40</v>
      </c>
      <c r="C51" t="s">
        <v>17</v>
      </c>
      <c r="D51">
        <v>30</v>
      </c>
      <c r="E51" t="s">
        <v>34</v>
      </c>
      <c r="F51" t="s">
        <v>35</v>
      </c>
      <c r="G51">
        <v>56328</v>
      </c>
      <c r="H51" s="1">
        <v>43623</v>
      </c>
      <c r="I51" t="s">
        <v>33</v>
      </c>
      <c r="J51">
        <v>9</v>
      </c>
      <c r="K51">
        <v>5</v>
      </c>
    </row>
    <row r="52" spans="1:11" x14ac:dyDescent="0.3">
      <c r="A52">
        <v>1051</v>
      </c>
      <c r="B52" t="s">
        <v>40</v>
      </c>
      <c r="C52" t="s">
        <v>12</v>
      </c>
      <c r="D52">
        <v>24</v>
      </c>
      <c r="E52" t="s">
        <v>24</v>
      </c>
      <c r="F52" t="s">
        <v>50</v>
      </c>
      <c r="G52">
        <v>38668</v>
      </c>
      <c r="H52" s="1">
        <v>43761</v>
      </c>
      <c r="I52" t="s">
        <v>15</v>
      </c>
      <c r="J52">
        <v>3</v>
      </c>
      <c r="K52">
        <v>5</v>
      </c>
    </row>
    <row r="53" spans="1:11" x14ac:dyDescent="0.3">
      <c r="A53">
        <v>1052</v>
      </c>
      <c r="B53" t="s">
        <v>36</v>
      </c>
      <c r="C53" t="s">
        <v>12</v>
      </c>
      <c r="D53">
        <v>37</v>
      </c>
      <c r="E53" t="s">
        <v>18</v>
      </c>
      <c r="F53" t="s">
        <v>37</v>
      </c>
      <c r="G53">
        <v>88773</v>
      </c>
      <c r="H53" s="1">
        <v>45186</v>
      </c>
      <c r="I53" t="s">
        <v>15</v>
      </c>
      <c r="J53">
        <v>8</v>
      </c>
      <c r="K53">
        <v>5</v>
      </c>
    </row>
    <row r="54" spans="1:11" x14ac:dyDescent="0.3">
      <c r="A54">
        <v>1053</v>
      </c>
      <c r="B54" t="s">
        <v>29</v>
      </c>
      <c r="C54" t="s">
        <v>12</v>
      </c>
      <c r="D54">
        <v>30</v>
      </c>
      <c r="E54" t="s">
        <v>42</v>
      </c>
      <c r="F54" t="s">
        <v>47</v>
      </c>
      <c r="G54">
        <v>41379</v>
      </c>
      <c r="H54" s="1">
        <v>45068</v>
      </c>
      <c r="I54" t="s">
        <v>15</v>
      </c>
      <c r="J54">
        <v>2</v>
      </c>
      <c r="K54">
        <v>2</v>
      </c>
    </row>
    <row r="55" spans="1:11" x14ac:dyDescent="0.3">
      <c r="A55">
        <v>1054</v>
      </c>
      <c r="B55" t="s">
        <v>53</v>
      </c>
      <c r="C55" t="s">
        <v>17</v>
      </c>
      <c r="D55">
        <v>23</v>
      </c>
      <c r="E55" t="s">
        <v>34</v>
      </c>
      <c r="F55" t="s">
        <v>46</v>
      </c>
      <c r="G55">
        <v>74193</v>
      </c>
      <c r="H55" s="1">
        <v>44412</v>
      </c>
      <c r="I55" t="s">
        <v>15</v>
      </c>
      <c r="J55">
        <v>14</v>
      </c>
      <c r="K55">
        <v>4</v>
      </c>
    </row>
    <row r="56" spans="1:11" x14ac:dyDescent="0.3">
      <c r="A56">
        <v>1055</v>
      </c>
      <c r="B56" t="s">
        <v>29</v>
      </c>
      <c r="C56" t="s">
        <v>12</v>
      </c>
      <c r="D56">
        <v>37</v>
      </c>
      <c r="E56" t="s">
        <v>18</v>
      </c>
      <c r="F56" t="s">
        <v>39</v>
      </c>
      <c r="G56">
        <v>43625</v>
      </c>
      <c r="H56" s="1">
        <v>45262</v>
      </c>
      <c r="I56" t="s">
        <v>15</v>
      </c>
      <c r="J56">
        <v>13</v>
      </c>
      <c r="K56">
        <v>5</v>
      </c>
    </row>
    <row r="57" spans="1:11" x14ac:dyDescent="0.3">
      <c r="A57">
        <v>1056</v>
      </c>
      <c r="B57" t="s">
        <v>30</v>
      </c>
      <c r="C57" t="s">
        <v>12</v>
      </c>
      <c r="D57">
        <v>22</v>
      </c>
      <c r="E57" t="s">
        <v>13</v>
      </c>
      <c r="F57" t="s">
        <v>14</v>
      </c>
      <c r="G57">
        <v>30436</v>
      </c>
      <c r="H57" s="1">
        <v>45584</v>
      </c>
      <c r="I57" t="s">
        <v>15</v>
      </c>
      <c r="J57">
        <v>5</v>
      </c>
      <c r="K57">
        <v>5</v>
      </c>
    </row>
    <row r="58" spans="1:11" x14ac:dyDescent="0.3">
      <c r="A58">
        <v>1057</v>
      </c>
      <c r="B58" t="s">
        <v>52</v>
      </c>
      <c r="C58" t="s">
        <v>12</v>
      </c>
      <c r="D58">
        <v>42</v>
      </c>
      <c r="E58" t="s">
        <v>21</v>
      </c>
      <c r="F58" t="s">
        <v>32</v>
      </c>
      <c r="G58">
        <v>31219</v>
      </c>
      <c r="H58" s="1">
        <v>45452</v>
      </c>
      <c r="I58" t="s">
        <v>33</v>
      </c>
      <c r="J58">
        <v>5</v>
      </c>
      <c r="K58">
        <v>3</v>
      </c>
    </row>
    <row r="59" spans="1:11" x14ac:dyDescent="0.3">
      <c r="A59">
        <v>1058</v>
      </c>
      <c r="B59" t="s">
        <v>45</v>
      </c>
      <c r="C59" t="s">
        <v>17</v>
      </c>
      <c r="D59">
        <v>32</v>
      </c>
      <c r="E59" t="s">
        <v>42</v>
      </c>
      <c r="F59" t="s">
        <v>43</v>
      </c>
      <c r="G59">
        <v>72754</v>
      </c>
      <c r="H59" s="1">
        <v>43567</v>
      </c>
      <c r="I59" t="s">
        <v>15</v>
      </c>
      <c r="J59">
        <v>9</v>
      </c>
      <c r="K59">
        <v>3</v>
      </c>
    </row>
    <row r="60" spans="1:11" x14ac:dyDescent="0.3">
      <c r="A60">
        <v>1059</v>
      </c>
      <c r="B60" t="s">
        <v>41</v>
      </c>
      <c r="C60" t="s">
        <v>17</v>
      </c>
      <c r="D60">
        <v>40</v>
      </c>
      <c r="E60" t="s">
        <v>21</v>
      </c>
      <c r="F60" t="s">
        <v>32</v>
      </c>
      <c r="G60">
        <v>66554</v>
      </c>
      <c r="H60" s="1">
        <v>43410</v>
      </c>
      <c r="I60" t="s">
        <v>15</v>
      </c>
      <c r="J60">
        <v>7</v>
      </c>
      <c r="K60">
        <v>4</v>
      </c>
    </row>
    <row r="61" spans="1:11" x14ac:dyDescent="0.3">
      <c r="A61">
        <v>1060</v>
      </c>
      <c r="B61" t="s">
        <v>51</v>
      </c>
      <c r="C61" t="s">
        <v>12</v>
      </c>
      <c r="D61">
        <v>26</v>
      </c>
      <c r="E61" t="s">
        <v>42</v>
      </c>
      <c r="F61" t="s">
        <v>47</v>
      </c>
      <c r="G61">
        <v>36684</v>
      </c>
      <c r="H61" s="1">
        <v>44948</v>
      </c>
      <c r="I61" t="s">
        <v>15</v>
      </c>
      <c r="J61">
        <v>15</v>
      </c>
      <c r="K61">
        <v>5</v>
      </c>
    </row>
    <row r="62" spans="1:11" x14ac:dyDescent="0.3">
      <c r="A62">
        <v>1061</v>
      </c>
      <c r="B62" t="s">
        <v>51</v>
      </c>
      <c r="C62" t="s">
        <v>12</v>
      </c>
      <c r="D62">
        <v>40</v>
      </c>
      <c r="E62" t="s">
        <v>24</v>
      </c>
      <c r="F62" t="s">
        <v>25</v>
      </c>
      <c r="G62">
        <v>86753</v>
      </c>
      <c r="H62" s="1">
        <v>43911</v>
      </c>
      <c r="I62" t="s">
        <v>33</v>
      </c>
      <c r="J62">
        <v>11</v>
      </c>
      <c r="K62">
        <v>4</v>
      </c>
    </row>
    <row r="63" spans="1:11" x14ac:dyDescent="0.3">
      <c r="A63">
        <v>1062</v>
      </c>
      <c r="B63" t="s">
        <v>26</v>
      </c>
      <c r="C63" t="s">
        <v>12</v>
      </c>
      <c r="D63">
        <v>32</v>
      </c>
      <c r="E63" t="s">
        <v>18</v>
      </c>
      <c r="F63" t="s">
        <v>39</v>
      </c>
      <c r="G63">
        <v>89424</v>
      </c>
      <c r="H63" s="1">
        <v>45010</v>
      </c>
      <c r="I63" t="s">
        <v>15</v>
      </c>
      <c r="J63">
        <v>2</v>
      </c>
      <c r="K63">
        <v>3</v>
      </c>
    </row>
    <row r="64" spans="1:11" x14ac:dyDescent="0.3">
      <c r="A64">
        <v>1063</v>
      </c>
      <c r="B64" t="s">
        <v>44</v>
      </c>
      <c r="C64" t="s">
        <v>17</v>
      </c>
      <c r="D64">
        <v>31</v>
      </c>
      <c r="E64" t="s">
        <v>24</v>
      </c>
      <c r="F64" t="s">
        <v>50</v>
      </c>
      <c r="G64">
        <v>68655</v>
      </c>
      <c r="H64" s="1">
        <v>45194</v>
      </c>
      <c r="I64" t="s">
        <v>33</v>
      </c>
      <c r="J64">
        <v>1</v>
      </c>
      <c r="K64">
        <v>2</v>
      </c>
    </row>
    <row r="65" spans="1:11" x14ac:dyDescent="0.3">
      <c r="A65">
        <v>1064</v>
      </c>
      <c r="B65" t="s">
        <v>28</v>
      </c>
      <c r="C65" t="s">
        <v>17</v>
      </c>
      <c r="D65">
        <v>31</v>
      </c>
      <c r="E65" t="s">
        <v>24</v>
      </c>
      <c r="F65" t="s">
        <v>25</v>
      </c>
      <c r="G65">
        <v>53748</v>
      </c>
      <c r="H65" s="1">
        <v>44714</v>
      </c>
      <c r="I65" t="s">
        <v>15</v>
      </c>
      <c r="J65">
        <v>14</v>
      </c>
      <c r="K65">
        <v>3</v>
      </c>
    </row>
    <row r="66" spans="1:11" x14ac:dyDescent="0.3">
      <c r="A66">
        <v>1065</v>
      </c>
      <c r="B66" t="s">
        <v>41</v>
      </c>
      <c r="C66" t="s">
        <v>17</v>
      </c>
      <c r="D66">
        <v>29</v>
      </c>
      <c r="E66" t="s">
        <v>21</v>
      </c>
      <c r="F66" t="s">
        <v>32</v>
      </c>
      <c r="G66">
        <v>60533</v>
      </c>
      <c r="H66" s="1">
        <v>43623</v>
      </c>
      <c r="I66" t="s">
        <v>33</v>
      </c>
      <c r="J66">
        <v>2</v>
      </c>
      <c r="K66">
        <v>4</v>
      </c>
    </row>
    <row r="67" spans="1:11" x14ac:dyDescent="0.3">
      <c r="A67">
        <v>1066</v>
      </c>
      <c r="B67" t="s">
        <v>52</v>
      </c>
      <c r="C67" t="s">
        <v>12</v>
      </c>
      <c r="D67">
        <v>28</v>
      </c>
      <c r="E67" t="s">
        <v>21</v>
      </c>
      <c r="F67" t="s">
        <v>32</v>
      </c>
      <c r="G67">
        <v>33472</v>
      </c>
      <c r="H67" s="1">
        <v>44196</v>
      </c>
      <c r="I67" t="s">
        <v>15</v>
      </c>
      <c r="J67">
        <v>11</v>
      </c>
      <c r="K67">
        <v>5</v>
      </c>
    </row>
    <row r="68" spans="1:11" x14ac:dyDescent="0.3">
      <c r="A68">
        <v>1067</v>
      </c>
      <c r="B68" t="s">
        <v>16</v>
      </c>
      <c r="C68" t="s">
        <v>12</v>
      </c>
      <c r="D68">
        <v>27</v>
      </c>
      <c r="E68" t="s">
        <v>24</v>
      </c>
      <c r="F68" t="s">
        <v>50</v>
      </c>
      <c r="G68">
        <v>56329</v>
      </c>
      <c r="H68" s="1">
        <v>43683</v>
      </c>
      <c r="I68" t="s">
        <v>15</v>
      </c>
      <c r="J68">
        <v>2</v>
      </c>
      <c r="K68">
        <v>4</v>
      </c>
    </row>
    <row r="69" spans="1:11" x14ac:dyDescent="0.3">
      <c r="A69">
        <v>1068</v>
      </c>
      <c r="B69" t="s">
        <v>23</v>
      </c>
      <c r="C69" t="s">
        <v>17</v>
      </c>
      <c r="D69">
        <v>42</v>
      </c>
      <c r="E69" t="s">
        <v>24</v>
      </c>
      <c r="F69" t="s">
        <v>25</v>
      </c>
      <c r="G69">
        <v>27433</v>
      </c>
      <c r="H69" s="1">
        <v>44622</v>
      </c>
      <c r="I69" t="s">
        <v>15</v>
      </c>
      <c r="J69">
        <v>14</v>
      </c>
      <c r="K69">
        <v>5</v>
      </c>
    </row>
    <row r="70" spans="1:11" x14ac:dyDescent="0.3">
      <c r="A70">
        <v>1069</v>
      </c>
      <c r="B70" t="s">
        <v>51</v>
      </c>
      <c r="C70" t="s">
        <v>17</v>
      </c>
      <c r="D70">
        <v>26</v>
      </c>
      <c r="E70" t="s">
        <v>13</v>
      </c>
      <c r="F70" t="s">
        <v>38</v>
      </c>
      <c r="G70">
        <v>56069</v>
      </c>
      <c r="H70" s="1">
        <v>43460</v>
      </c>
      <c r="I70" t="s">
        <v>33</v>
      </c>
      <c r="J70">
        <v>12</v>
      </c>
      <c r="K70">
        <v>4</v>
      </c>
    </row>
    <row r="71" spans="1:11" x14ac:dyDescent="0.3">
      <c r="A71">
        <v>1070</v>
      </c>
      <c r="B71" t="s">
        <v>53</v>
      </c>
      <c r="C71" t="s">
        <v>17</v>
      </c>
      <c r="D71">
        <v>42</v>
      </c>
      <c r="E71" t="s">
        <v>34</v>
      </c>
      <c r="F71" t="s">
        <v>46</v>
      </c>
      <c r="G71">
        <v>77229</v>
      </c>
      <c r="H71" s="1">
        <v>45609</v>
      </c>
      <c r="I71" t="s">
        <v>15</v>
      </c>
      <c r="J71">
        <v>2</v>
      </c>
      <c r="K71">
        <v>4</v>
      </c>
    </row>
    <row r="72" spans="1:11" x14ac:dyDescent="0.3">
      <c r="A72">
        <v>1071</v>
      </c>
      <c r="B72" t="s">
        <v>23</v>
      </c>
      <c r="C72" t="s">
        <v>17</v>
      </c>
      <c r="D72">
        <v>22</v>
      </c>
      <c r="E72" t="s">
        <v>18</v>
      </c>
      <c r="F72" t="s">
        <v>27</v>
      </c>
      <c r="G72">
        <v>42722</v>
      </c>
      <c r="H72" s="1">
        <v>43286</v>
      </c>
      <c r="I72" t="s">
        <v>15</v>
      </c>
      <c r="J72">
        <v>11</v>
      </c>
      <c r="K72">
        <v>3</v>
      </c>
    </row>
    <row r="73" spans="1:11" x14ac:dyDescent="0.3">
      <c r="A73">
        <v>1072</v>
      </c>
      <c r="B73" t="s">
        <v>16</v>
      </c>
      <c r="C73" t="s">
        <v>17</v>
      </c>
      <c r="D73">
        <v>31</v>
      </c>
      <c r="E73" t="s">
        <v>18</v>
      </c>
      <c r="F73" t="s">
        <v>27</v>
      </c>
      <c r="G73">
        <v>36228</v>
      </c>
      <c r="H73" s="1">
        <v>43104</v>
      </c>
      <c r="I73" t="s">
        <v>15</v>
      </c>
      <c r="J73">
        <v>4</v>
      </c>
      <c r="K73">
        <v>4</v>
      </c>
    </row>
    <row r="74" spans="1:11" x14ac:dyDescent="0.3">
      <c r="A74">
        <v>1073</v>
      </c>
      <c r="B74" t="s">
        <v>29</v>
      </c>
      <c r="C74" t="s">
        <v>17</v>
      </c>
      <c r="D74">
        <v>42</v>
      </c>
      <c r="E74" t="s">
        <v>18</v>
      </c>
      <c r="F74" t="s">
        <v>19</v>
      </c>
      <c r="G74">
        <v>59930</v>
      </c>
      <c r="H74" s="1">
        <v>43682</v>
      </c>
      <c r="I74" t="s">
        <v>15</v>
      </c>
      <c r="J74">
        <v>11</v>
      </c>
      <c r="K74">
        <v>4</v>
      </c>
    </row>
    <row r="75" spans="1:11" x14ac:dyDescent="0.3">
      <c r="A75">
        <v>1074</v>
      </c>
      <c r="B75" t="s">
        <v>41</v>
      </c>
      <c r="C75" t="s">
        <v>17</v>
      </c>
      <c r="D75">
        <v>45</v>
      </c>
      <c r="E75" t="s">
        <v>21</v>
      </c>
      <c r="F75" t="s">
        <v>22</v>
      </c>
      <c r="G75">
        <v>32858</v>
      </c>
      <c r="H75" s="1">
        <v>43207</v>
      </c>
      <c r="I75" t="s">
        <v>15</v>
      </c>
      <c r="J75">
        <v>14</v>
      </c>
      <c r="K75">
        <v>4</v>
      </c>
    </row>
    <row r="76" spans="1:11" x14ac:dyDescent="0.3">
      <c r="A76">
        <v>1075</v>
      </c>
      <c r="B76" t="s">
        <v>11</v>
      </c>
      <c r="C76" t="s">
        <v>17</v>
      </c>
      <c r="D76">
        <v>43</v>
      </c>
      <c r="E76" t="s">
        <v>13</v>
      </c>
      <c r="F76" t="s">
        <v>38</v>
      </c>
      <c r="G76">
        <v>50795</v>
      </c>
      <c r="H76" s="1">
        <v>43366</v>
      </c>
      <c r="I76" t="s">
        <v>15</v>
      </c>
      <c r="J76">
        <v>15</v>
      </c>
      <c r="K76">
        <v>4</v>
      </c>
    </row>
    <row r="77" spans="1:11" x14ac:dyDescent="0.3">
      <c r="A77">
        <v>1076</v>
      </c>
      <c r="B77" t="s">
        <v>45</v>
      </c>
      <c r="C77" t="s">
        <v>12</v>
      </c>
      <c r="D77">
        <v>30</v>
      </c>
      <c r="E77" t="s">
        <v>18</v>
      </c>
      <c r="F77" t="s">
        <v>39</v>
      </c>
      <c r="G77">
        <v>71189</v>
      </c>
      <c r="H77" s="1">
        <v>44616</v>
      </c>
      <c r="I77" t="s">
        <v>15</v>
      </c>
      <c r="J77">
        <v>9</v>
      </c>
      <c r="K77">
        <v>2</v>
      </c>
    </row>
    <row r="78" spans="1:11" x14ac:dyDescent="0.3">
      <c r="A78">
        <v>1077</v>
      </c>
      <c r="B78" t="s">
        <v>29</v>
      </c>
      <c r="C78" t="s">
        <v>12</v>
      </c>
      <c r="D78">
        <v>40</v>
      </c>
      <c r="E78" t="s">
        <v>18</v>
      </c>
      <c r="F78" t="s">
        <v>39</v>
      </c>
      <c r="G78">
        <v>32866</v>
      </c>
      <c r="H78" s="1">
        <v>43198</v>
      </c>
      <c r="I78" t="s">
        <v>15</v>
      </c>
      <c r="J78">
        <v>15</v>
      </c>
      <c r="K78">
        <v>2</v>
      </c>
    </row>
    <row r="79" spans="1:11" x14ac:dyDescent="0.3">
      <c r="A79">
        <v>1078</v>
      </c>
      <c r="B79" t="s">
        <v>11</v>
      </c>
      <c r="C79" t="s">
        <v>12</v>
      </c>
      <c r="D79">
        <v>44</v>
      </c>
      <c r="E79" t="s">
        <v>18</v>
      </c>
      <c r="F79" t="s">
        <v>27</v>
      </c>
      <c r="G79">
        <v>70153</v>
      </c>
      <c r="H79" s="1">
        <v>43790</v>
      </c>
      <c r="I79" t="s">
        <v>15</v>
      </c>
      <c r="J79">
        <v>9</v>
      </c>
      <c r="K79">
        <v>4</v>
      </c>
    </row>
    <row r="80" spans="1:11" x14ac:dyDescent="0.3">
      <c r="A80">
        <v>1079</v>
      </c>
      <c r="B80" t="s">
        <v>41</v>
      </c>
      <c r="C80" t="s">
        <v>17</v>
      </c>
      <c r="D80">
        <v>37</v>
      </c>
      <c r="E80" t="s">
        <v>42</v>
      </c>
      <c r="F80" t="s">
        <v>47</v>
      </c>
      <c r="G80">
        <v>47502</v>
      </c>
      <c r="H80" s="1">
        <v>45603</v>
      </c>
      <c r="I80" t="s">
        <v>15</v>
      </c>
      <c r="J80">
        <v>9</v>
      </c>
      <c r="K80">
        <v>5</v>
      </c>
    </row>
    <row r="81" spans="1:11" x14ac:dyDescent="0.3">
      <c r="A81">
        <v>1080</v>
      </c>
      <c r="B81" t="s">
        <v>36</v>
      </c>
      <c r="C81" t="s">
        <v>12</v>
      </c>
      <c r="D81">
        <v>25</v>
      </c>
      <c r="E81" t="s">
        <v>18</v>
      </c>
      <c r="F81" t="s">
        <v>27</v>
      </c>
      <c r="G81">
        <v>74625</v>
      </c>
      <c r="H81" s="1">
        <v>45129</v>
      </c>
      <c r="I81" t="s">
        <v>15</v>
      </c>
      <c r="J81">
        <v>11</v>
      </c>
      <c r="K81">
        <v>5</v>
      </c>
    </row>
    <row r="82" spans="1:11" x14ac:dyDescent="0.3">
      <c r="A82">
        <v>1081</v>
      </c>
      <c r="B82" t="s">
        <v>44</v>
      </c>
      <c r="C82" t="s">
        <v>17</v>
      </c>
      <c r="D82">
        <v>42</v>
      </c>
      <c r="E82" t="s">
        <v>24</v>
      </c>
      <c r="F82" t="s">
        <v>25</v>
      </c>
      <c r="G82">
        <v>62309</v>
      </c>
      <c r="H82" s="1">
        <v>45386</v>
      </c>
      <c r="I82" t="s">
        <v>15</v>
      </c>
      <c r="J82">
        <v>9</v>
      </c>
      <c r="K82">
        <v>3</v>
      </c>
    </row>
    <row r="83" spans="1:11" x14ac:dyDescent="0.3">
      <c r="A83">
        <v>1082</v>
      </c>
      <c r="B83" t="s">
        <v>52</v>
      </c>
      <c r="C83" t="s">
        <v>17</v>
      </c>
      <c r="D83">
        <v>34</v>
      </c>
      <c r="E83" t="s">
        <v>42</v>
      </c>
      <c r="F83" t="s">
        <v>47</v>
      </c>
      <c r="G83">
        <v>87705</v>
      </c>
      <c r="H83" s="1">
        <v>43606</v>
      </c>
      <c r="I83" t="s">
        <v>15</v>
      </c>
      <c r="J83">
        <v>11</v>
      </c>
      <c r="K83">
        <v>4</v>
      </c>
    </row>
    <row r="84" spans="1:11" x14ac:dyDescent="0.3">
      <c r="A84">
        <v>1083</v>
      </c>
      <c r="B84" t="s">
        <v>49</v>
      </c>
      <c r="C84" t="s">
        <v>17</v>
      </c>
      <c r="D84">
        <v>22</v>
      </c>
      <c r="E84" t="s">
        <v>42</v>
      </c>
      <c r="F84" t="s">
        <v>43</v>
      </c>
      <c r="G84">
        <v>25670</v>
      </c>
      <c r="H84" s="1">
        <v>43178</v>
      </c>
      <c r="I84" t="s">
        <v>15</v>
      </c>
      <c r="J84">
        <v>6</v>
      </c>
      <c r="K84">
        <v>4</v>
      </c>
    </row>
    <row r="85" spans="1:11" x14ac:dyDescent="0.3">
      <c r="A85">
        <v>1084</v>
      </c>
      <c r="B85" t="s">
        <v>36</v>
      </c>
      <c r="C85" t="s">
        <v>17</v>
      </c>
      <c r="D85">
        <v>35</v>
      </c>
      <c r="E85" t="s">
        <v>21</v>
      </c>
      <c r="F85" t="s">
        <v>32</v>
      </c>
      <c r="G85">
        <v>65959</v>
      </c>
      <c r="H85" s="1">
        <v>43247</v>
      </c>
      <c r="I85" t="s">
        <v>33</v>
      </c>
      <c r="J85">
        <v>6</v>
      </c>
      <c r="K85">
        <v>4</v>
      </c>
    </row>
    <row r="86" spans="1:11" x14ac:dyDescent="0.3">
      <c r="A86">
        <v>1085</v>
      </c>
      <c r="B86" t="s">
        <v>41</v>
      </c>
      <c r="C86" t="s">
        <v>17</v>
      </c>
      <c r="D86">
        <v>40</v>
      </c>
      <c r="E86" t="s">
        <v>34</v>
      </c>
      <c r="F86" t="s">
        <v>46</v>
      </c>
      <c r="G86">
        <v>68069</v>
      </c>
      <c r="H86" s="1">
        <v>44471</v>
      </c>
      <c r="I86" t="s">
        <v>15</v>
      </c>
      <c r="J86">
        <v>1</v>
      </c>
      <c r="K86">
        <v>4</v>
      </c>
    </row>
    <row r="87" spans="1:11" x14ac:dyDescent="0.3">
      <c r="A87">
        <v>1086</v>
      </c>
      <c r="B87" t="s">
        <v>49</v>
      </c>
      <c r="C87" t="s">
        <v>17</v>
      </c>
      <c r="D87">
        <v>33</v>
      </c>
      <c r="E87" t="s">
        <v>21</v>
      </c>
      <c r="F87" t="s">
        <v>22</v>
      </c>
      <c r="G87">
        <v>41173</v>
      </c>
      <c r="H87" s="1">
        <v>44354</v>
      </c>
      <c r="I87" t="s">
        <v>15</v>
      </c>
      <c r="J87">
        <v>15</v>
      </c>
      <c r="K87">
        <v>4</v>
      </c>
    </row>
    <row r="88" spans="1:11" x14ac:dyDescent="0.3">
      <c r="A88">
        <v>1087</v>
      </c>
      <c r="B88" t="s">
        <v>31</v>
      </c>
      <c r="C88" t="s">
        <v>12</v>
      </c>
      <c r="D88">
        <v>41</v>
      </c>
      <c r="E88" t="s">
        <v>21</v>
      </c>
      <c r="F88" t="s">
        <v>32</v>
      </c>
      <c r="G88">
        <v>83439</v>
      </c>
      <c r="H88" s="1">
        <v>44987</v>
      </c>
      <c r="I88" t="s">
        <v>15</v>
      </c>
      <c r="J88">
        <v>2</v>
      </c>
      <c r="K88">
        <v>5</v>
      </c>
    </row>
    <row r="89" spans="1:11" x14ac:dyDescent="0.3">
      <c r="A89">
        <v>1088</v>
      </c>
      <c r="B89" t="s">
        <v>11</v>
      </c>
      <c r="C89" t="s">
        <v>12</v>
      </c>
      <c r="D89">
        <v>38</v>
      </c>
      <c r="E89" t="s">
        <v>42</v>
      </c>
      <c r="F89" t="s">
        <v>43</v>
      </c>
      <c r="G89">
        <v>54668</v>
      </c>
      <c r="H89" s="1">
        <v>44483</v>
      </c>
      <c r="I89" t="s">
        <v>15</v>
      </c>
      <c r="J89">
        <v>5</v>
      </c>
      <c r="K89">
        <v>3</v>
      </c>
    </row>
    <row r="90" spans="1:11" x14ac:dyDescent="0.3">
      <c r="A90">
        <v>1089</v>
      </c>
      <c r="B90" t="s">
        <v>29</v>
      </c>
      <c r="C90" t="s">
        <v>12</v>
      </c>
      <c r="D90">
        <v>27</v>
      </c>
      <c r="E90" t="s">
        <v>24</v>
      </c>
      <c r="F90" t="s">
        <v>25</v>
      </c>
      <c r="G90">
        <v>75743</v>
      </c>
      <c r="H90" s="1">
        <v>45526</v>
      </c>
      <c r="I90" t="s">
        <v>33</v>
      </c>
      <c r="J90">
        <v>5</v>
      </c>
      <c r="K90">
        <v>4</v>
      </c>
    </row>
    <row r="91" spans="1:11" x14ac:dyDescent="0.3">
      <c r="A91">
        <v>1090</v>
      </c>
      <c r="B91" t="s">
        <v>44</v>
      </c>
      <c r="C91" t="s">
        <v>17</v>
      </c>
      <c r="D91">
        <v>31</v>
      </c>
      <c r="E91" t="s">
        <v>13</v>
      </c>
      <c r="F91" t="s">
        <v>14</v>
      </c>
      <c r="G91">
        <v>50725</v>
      </c>
      <c r="H91" s="1">
        <v>44119</v>
      </c>
      <c r="I91" t="s">
        <v>33</v>
      </c>
      <c r="J91">
        <v>5</v>
      </c>
      <c r="K91">
        <v>2</v>
      </c>
    </row>
    <row r="92" spans="1:11" x14ac:dyDescent="0.3">
      <c r="A92">
        <v>1091</v>
      </c>
      <c r="B92" t="s">
        <v>11</v>
      </c>
      <c r="C92" t="s">
        <v>12</v>
      </c>
      <c r="D92">
        <v>24</v>
      </c>
      <c r="E92" t="s">
        <v>21</v>
      </c>
      <c r="F92" t="s">
        <v>32</v>
      </c>
      <c r="G92">
        <v>64078</v>
      </c>
      <c r="H92" s="1">
        <v>45248</v>
      </c>
      <c r="I92" t="s">
        <v>33</v>
      </c>
      <c r="J92">
        <v>7</v>
      </c>
      <c r="K92">
        <v>5</v>
      </c>
    </row>
    <row r="93" spans="1:11" x14ac:dyDescent="0.3">
      <c r="A93">
        <v>1092</v>
      </c>
      <c r="B93" t="s">
        <v>16</v>
      </c>
      <c r="C93" t="s">
        <v>17</v>
      </c>
      <c r="D93">
        <v>35</v>
      </c>
      <c r="E93" t="s">
        <v>13</v>
      </c>
      <c r="F93" t="s">
        <v>14</v>
      </c>
      <c r="G93">
        <v>84948</v>
      </c>
      <c r="H93" s="1">
        <v>45614</v>
      </c>
      <c r="I93" t="s">
        <v>33</v>
      </c>
      <c r="J93">
        <v>7</v>
      </c>
      <c r="K93">
        <v>3</v>
      </c>
    </row>
    <row r="94" spans="1:11" x14ac:dyDescent="0.3">
      <c r="A94">
        <v>1093</v>
      </c>
      <c r="B94" t="s">
        <v>41</v>
      </c>
      <c r="C94" t="s">
        <v>17</v>
      </c>
      <c r="D94">
        <v>36</v>
      </c>
      <c r="E94" t="s">
        <v>34</v>
      </c>
      <c r="F94" t="s">
        <v>35</v>
      </c>
      <c r="G94">
        <v>84334</v>
      </c>
      <c r="H94" s="1">
        <v>43259</v>
      </c>
      <c r="I94" t="s">
        <v>15</v>
      </c>
      <c r="J94">
        <v>11</v>
      </c>
      <c r="K94">
        <v>5</v>
      </c>
    </row>
    <row r="95" spans="1:11" x14ac:dyDescent="0.3">
      <c r="A95">
        <v>1094</v>
      </c>
      <c r="B95" t="s">
        <v>29</v>
      </c>
      <c r="C95" t="s">
        <v>17</v>
      </c>
      <c r="D95">
        <v>40</v>
      </c>
      <c r="E95" t="s">
        <v>21</v>
      </c>
      <c r="F95" t="s">
        <v>32</v>
      </c>
      <c r="G95">
        <v>77812</v>
      </c>
      <c r="H95" s="1">
        <v>45357</v>
      </c>
      <c r="I95" t="s">
        <v>15</v>
      </c>
      <c r="J95">
        <v>12</v>
      </c>
      <c r="K95">
        <v>2</v>
      </c>
    </row>
    <row r="96" spans="1:11" x14ac:dyDescent="0.3">
      <c r="A96">
        <v>1095</v>
      </c>
      <c r="B96" t="s">
        <v>36</v>
      </c>
      <c r="C96" t="s">
        <v>17</v>
      </c>
      <c r="D96">
        <v>33</v>
      </c>
      <c r="E96" t="s">
        <v>18</v>
      </c>
      <c r="F96" t="s">
        <v>19</v>
      </c>
      <c r="G96">
        <v>48776</v>
      </c>
      <c r="H96" s="1">
        <v>45525</v>
      </c>
      <c r="I96" t="s">
        <v>15</v>
      </c>
      <c r="J96">
        <v>9</v>
      </c>
      <c r="K96">
        <v>3</v>
      </c>
    </row>
    <row r="97" spans="1:11" x14ac:dyDescent="0.3">
      <c r="A97">
        <v>1096</v>
      </c>
      <c r="B97" t="s">
        <v>23</v>
      </c>
      <c r="C97" t="s">
        <v>12</v>
      </c>
      <c r="D97">
        <v>31</v>
      </c>
      <c r="E97" t="s">
        <v>21</v>
      </c>
      <c r="F97" t="s">
        <v>22</v>
      </c>
      <c r="G97">
        <v>34010</v>
      </c>
      <c r="H97" s="1">
        <v>44658</v>
      </c>
      <c r="I97" t="s">
        <v>15</v>
      </c>
      <c r="J97">
        <v>10</v>
      </c>
      <c r="K97">
        <v>2</v>
      </c>
    </row>
    <row r="98" spans="1:11" x14ac:dyDescent="0.3">
      <c r="A98">
        <v>1097</v>
      </c>
      <c r="B98" t="s">
        <v>49</v>
      </c>
      <c r="C98" t="s">
        <v>12</v>
      </c>
      <c r="D98">
        <v>26</v>
      </c>
      <c r="E98" t="s">
        <v>34</v>
      </c>
      <c r="F98" t="s">
        <v>35</v>
      </c>
      <c r="G98">
        <v>68144</v>
      </c>
      <c r="H98" s="1">
        <v>43265</v>
      </c>
      <c r="I98" t="s">
        <v>33</v>
      </c>
      <c r="J98">
        <v>3</v>
      </c>
      <c r="K98">
        <v>2</v>
      </c>
    </row>
    <row r="99" spans="1:11" x14ac:dyDescent="0.3">
      <c r="A99">
        <v>1098</v>
      </c>
      <c r="B99" t="s">
        <v>11</v>
      </c>
      <c r="C99" t="s">
        <v>17</v>
      </c>
      <c r="D99">
        <v>33</v>
      </c>
      <c r="E99" t="s">
        <v>42</v>
      </c>
      <c r="F99" t="s">
        <v>47</v>
      </c>
      <c r="G99">
        <v>29326</v>
      </c>
      <c r="H99" s="1">
        <v>44621</v>
      </c>
      <c r="I99" t="s">
        <v>15</v>
      </c>
      <c r="J99">
        <v>11</v>
      </c>
      <c r="K99">
        <v>2</v>
      </c>
    </row>
    <row r="100" spans="1:11" x14ac:dyDescent="0.3">
      <c r="A100">
        <v>1099</v>
      </c>
      <c r="B100" t="s">
        <v>45</v>
      </c>
      <c r="C100" t="s">
        <v>17</v>
      </c>
      <c r="D100">
        <v>43</v>
      </c>
      <c r="E100" t="s">
        <v>18</v>
      </c>
      <c r="F100" t="s">
        <v>39</v>
      </c>
      <c r="G100">
        <v>59051</v>
      </c>
      <c r="H100" s="1">
        <v>44020</v>
      </c>
      <c r="I100" t="s">
        <v>15</v>
      </c>
      <c r="J100">
        <v>6</v>
      </c>
      <c r="K100">
        <v>4</v>
      </c>
    </row>
    <row r="101" spans="1:11" x14ac:dyDescent="0.3">
      <c r="A101">
        <v>1100</v>
      </c>
      <c r="B101" t="s">
        <v>44</v>
      </c>
      <c r="C101" t="s">
        <v>12</v>
      </c>
      <c r="D101">
        <v>39</v>
      </c>
      <c r="E101" t="s">
        <v>18</v>
      </c>
      <c r="F101" t="s">
        <v>19</v>
      </c>
      <c r="G101">
        <v>62509</v>
      </c>
      <c r="H101" s="1">
        <v>44071</v>
      </c>
      <c r="I101" t="s">
        <v>15</v>
      </c>
      <c r="J101">
        <v>8</v>
      </c>
      <c r="K101">
        <v>5</v>
      </c>
    </row>
    <row r="102" spans="1:11" x14ac:dyDescent="0.3">
      <c r="A102">
        <v>1101</v>
      </c>
      <c r="B102" t="s">
        <v>23</v>
      </c>
      <c r="C102" t="s">
        <v>17</v>
      </c>
      <c r="D102">
        <v>41</v>
      </c>
      <c r="E102" t="s">
        <v>34</v>
      </c>
      <c r="F102" t="s">
        <v>35</v>
      </c>
      <c r="G102">
        <v>62177</v>
      </c>
      <c r="H102" s="1">
        <v>44069</v>
      </c>
      <c r="I102" t="s">
        <v>15</v>
      </c>
      <c r="J102">
        <v>2</v>
      </c>
      <c r="K102">
        <v>5</v>
      </c>
    </row>
    <row r="103" spans="1:11" x14ac:dyDescent="0.3">
      <c r="A103">
        <v>1102</v>
      </c>
      <c r="B103" t="s">
        <v>45</v>
      </c>
      <c r="C103" t="s">
        <v>12</v>
      </c>
      <c r="D103">
        <v>44</v>
      </c>
      <c r="E103" t="s">
        <v>34</v>
      </c>
      <c r="F103" t="s">
        <v>35</v>
      </c>
      <c r="G103">
        <v>65501</v>
      </c>
      <c r="H103" s="1">
        <v>43498</v>
      </c>
      <c r="I103" t="s">
        <v>15</v>
      </c>
      <c r="J103">
        <v>10</v>
      </c>
      <c r="K103">
        <v>4</v>
      </c>
    </row>
    <row r="104" spans="1:11" x14ac:dyDescent="0.3">
      <c r="A104">
        <v>1103</v>
      </c>
      <c r="B104" t="s">
        <v>31</v>
      </c>
      <c r="C104" t="s">
        <v>17</v>
      </c>
      <c r="D104">
        <v>45</v>
      </c>
      <c r="E104" t="s">
        <v>42</v>
      </c>
      <c r="F104" t="s">
        <v>43</v>
      </c>
      <c r="G104">
        <v>35237</v>
      </c>
      <c r="H104" s="1">
        <v>43843</v>
      </c>
      <c r="I104" t="s">
        <v>15</v>
      </c>
      <c r="J104">
        <v>2</v>
      </c>
      <c r="K104">
        <v>3</v>
      </c>
    </row>
    <row r="105" spans="1:11" x14ac:dyDescent="0.3">
      <c r="A105">
        <v>1104</v>
      </c>
      <c r="B105" t="s">
        <v>36</v>
      </c>
      <c r="C105" t="s">
        <v>12</v>
      </c>
      <c r="D105">
        <v>28</v>
      </c>
      <c r="E105" t="s">
        <v>34</v>
      </c>
      <c r="F105" t="s">
        <v>35</v>
      </c>
      <c r="G105">
        <v>81515</v>
      </c>
      <c r="H105" s="1">
        <v>44211</v>
      </c>
      <c r="I105" t="s">
        <v>15</v>
      </c>
      <c r="J105">
        <v>12</v>
      </c>
      <c r="K105">
        <v>5</v>
      </c>
    </row>
    <row r="106" spans="1:11" x14ac:dyDescent="0.3">
      <c r="A106">
        <v>1105</v>
      </c>
      <c r="B106" t="s">
        <v>52</v>
      </c>
      <c r="C106" t="s">
        <v>17</v>
      </c>
      <c r="D106">
        <v>45</v>
      </c>
      <c r="E106" t="s">
        <v>18</v>
      </c>
      <c r="F106" t="s">
        <v>19</v>
      </c>
      <c r="G106">
        <v>65395</v>
      </c>
      <c r="H106" s="1">
        <v>43668</v>
      </c>
      <c r="I106" t="s">
        <v>15</v>
      </c>
      <c r="J106">
        <v>4</v>
      </c>
      <c r="K106">
        <v>5</v>
      </c>
    </row>
    <row r="107" spans="1:11" x14ac:dyDescent="0.3">
      <c r="A107">
        <v>1106</v>
      </c>
      <c r="B107" t="s">
        <v>48</v>
      </c>
      <c r="C107" t="s">
        <v>12</v>
      </c>
      <c r="D107">
        <v>29</v>
      </c>
      <c r="E107" t="s">
        <v>18</v>
      </c>
      <c r="F107" t="s">
        <v>27</v>
      </c>
      <c r="G107">
        <v>67100</v>
      </c>
      <c r="H107" s="1">
        <v>43484</v>
      </c>
      <c r="I107" t="s">
        <v>15</v>
      </c>
      <c r="J107">
        <v>6</v>
      </c>
      <c r="K107">
        <v>5</v>
      </c>
    </row>
    <row r="108" spans="1:11" x14ac:dyDescent="0.3">
      <c r="A108">
        <v>1107</v>
      </c>
      <c r="B108" t="s">
        <v>52</v>
      </c>
      <c r="C108" t="s">
        <v>17</v>
      </c>
      <c r="D108">
        <v>24</v>
      </c>
      <c r="E108" t="s">
        <v>18</v>
      </c>
      <c r="F108" t="s">
        <v>37</v>
      </c>
      <c r="G108">
        <v>83845</v>
      </c>
      <c r="H108" s="1">
        <v>44339</v>
      </c>
      <c r="I108" t="s">
        <v>15</v>
      </c>
      <c r="J108">
        <v>6</v>
      </c>
      <c r="K108">
        <v>2</v>
      </c>
    </row>
    <row r="109" spans="1:11" x14ac:dyDescent="0.3">
      <c r="A109">
        <v>1108</v>
      </c>
      <c r="B109" t="s">
        <v>44</v>
      </c>
      <c r="C109" t="s">
        <v>12</v>
      </c>
      <c r="D109">
        <v>34</v>
      </c>
      <c r="E109" t="s">
        <v>34</v>
      </c>
      <c r="F109" t="s">
        <v>46</v>
      </c>
      <c r="G109">
        <v>85457</v>
      </c>
      <c r="H109" s="1">
        <v>44347</v>
      </c>
      <c r="I109" t="s">
        <v>15</v>
      </c>
      <c r="J109">
        <v>1</v>
      </c>
      <c r="K109">
        <v>2</v>
      </c>
    </row>
    <row r="110" spans="1:11" x14ac:dyDescent="0.3">
      <c r="A110">
        <v>1109</v>
      </c>
      <c r="B110" t="s">
        <v>49</v>
      </c>
      <c r="C110" t="s">
        <v>17</v>
      </c>
      <c r="D110">
        <v>23</v>
      </c>
      <c r="E110" t="s">
        <v>21</v>
      </c>
      <c r="F110" t="s">
        <v>32</v>
      </c>
      <c r="G110">
        <v>63230</v>
      </c>
      <c r="H110" s="1">
        <v>44860</v>
      </c>
      <c r="I110" t="s">
        <v>33</v>
      </c>
      <c r="J110">
        <v>6</v>
      </c>
      <c r="K110">
        <v>2</v>
      </c>
    </row>
    <row r="111" spans="1:11" x14ac:dyDescent="0.3">
      <c r="A111">
        <v>1110</v>
      </c>
      <c r="B111" t="s">
        <v>30</v>
      </c>
      <c r="C111" t="s">
        <v>17</v>
      </c>
      <c r="D111">
        <v>40</v>
      </c>
      <c r="E111" t="s">
        <v>24</v>
      </c>
      <c r="F111" t="s">
        <v>25</v>
      </c>
      <c r="G111">
        <v>44643</v>
      </c>
      <c r="H111" s="1">
        <v>44454</v>
      </c>
      <c r="I111" t="s">
        <v>15</v>
      </c>
      <c r="J111">
        <v>12</v>
      </c>
      <c r="K111">
        <v>3</v>
      </c>
    </row>
    <row r="112" spans="1:11" x14ac:dyDescent="0.3">
      <c r="A112">
        <v>1111</v>
      </c>
      <c r="B112" t="s">
        <v>29</v>
      </c>
      <c r="C112" t="s">
        <v>17</v>
      </c>
      <c r="D112">
        <v>26</v>
      </c>
      <c r="E112" t="s">
        <v>42</v>
      </c>
      <c r="F112" t="s">
        <v>47</v>
      </c>
      <c r="G112">
        <v>32693</v>
      </c>
      <c r="H112" s="1">
        <v>43439</v>
      </c>
      <c r="I112" t="s">
        <v>15</v>
      </c>
      <c r="J112">
        <v>5</v>
      </c>
      <c r="K112">
        <v>4</v>
      </c>
    </row>
    <row r="113" spans="1:11" x14ac:dyDescent="0.3">
      <c r="A113">
        <v>1112</v>
      </c>
      <c r="B113" t="s">
        <v>41</v>
      </c>
      <c r="C113" t="s">
        <v>17</v>
      </c>
      <c r="D113">
        <v>45</v>
      </c>
      <c r="E113" t="s">
        <v>34</v>
      </c>
      <c r="F113" t="s">
        <v>46</v>
      </c>
      <c r="G113">
        <v>62171</v>
      </c>
      <c r="H113" s="1">
        <v>45557</v>
      </c>
      <c r="I113" t="s">
        <v>15</v>
      </c>
      <c r="J113">
        <v>10</v>
      </c>
      <c r="K113">
        <v>5</v>
      </c>
    </row>
    <row r="114" spans="1:11" x14ac:dyDescent="0.3">
      <c r="A114">
        <v>1113</v>
      </c>
      <c r="B114" t="s">
        <v>53</v>
      </c>
      <c r="C114" t="s">
        <v>12</v>
      </c>
      <c r="D114">
        <v>39</v>
      </c>
      <c r="E114" t="s">
        <v>21</v>
      </c>
      <c r="F114" t="s">
        <v>22</v>
      </c>
      <c r="G114">
        <v>62976</v>
      </c>
      <c r="H114" s="1">
        <v>43605</v>
      </c>
      <c r="I114" t="s">
        <v>15</v>
      </c>
      <c r="J114">
        <v>14</v>
      </c>
      <c r="K114">
        <v>5</v>
      </c>
    </row>
    <row r="115" spans="1:11" x14ac:dyDescent="0.3">
      <c r="A115">
        <v>1114</v>
      </c>
      <c r="B115" t="s">
        <v>11</v>
      </c>
      <c r="C115" t="s">
        <v>12</v>
      </c>
      <c r="D115">
        <v>41</v>
      </c>
      <c r="E115" t="s">
        <v>34</v>
      </c>
      <c r="F115" t="s">
        <v>46</v>
      </c>
      <c r="G115">
        <v>74127</v>
      </c>
      <c r="H115" s="1">
        <v>45197</v>
      </c>
      <c r="I115" t="s">
        <v>15</v>
      </c>
      <c r="J115">
        <v>10</v>
      </c>
      <c r="K115">
        <v>5</v>
      </c>
    </row>
    <row r="116" spans="1:11" x14ac:dyDescent="0.3">
      <c r="A116">
        <v>1115</v>
      </c>
      <c r="B116" t="s">
        <v>54</v>
      </c>
      <c r="C116" t="s">
        <v>17</v>
      </c>
      <c r="D116">
        <v>44</v>
      </c>
      <c r="E116" t="s">
        <v>21</v>
      </c>
      <c r="F116" t="s">
        <v>32</v>
      </c>
      <c r="G116">
        <v>36944</v>
      </c>
      <c r="H116" s="1">
        <v>43475</v>
      </c>
      <c r="I116" t="s">
        <v>15</v>
      </c>
      <c r="J116">
        <v>9</v>
      </c>
      <c r="K116">
        <v>4</v>
      </c>
    </row>
    <row r="117" spans="1:11" x14ac:dyDescent="0.3">
      <c r="A117">
        <v>1116</v>
      </c>
      <c r="B117" t="s">
        <v>54</v>
      </c>
      <c r="C117" t="s">
        <v>17</v>
      </c>
      <c r="D117">
        <v>24</v>
      </c>
      <c r="E117" t="s">
        <v>13</v>
      </c>
      <c r="F117" t="s">
        <v>14</v>
      </c>
      <c r="G117">
        <v>80311</v>
      </c>
      <c r="H117" s="1">
        <v>43681</v>
      </c>
      <c r="I117" t="s">
        <v>15</v>
      </c>
      <c r="J117">
        <v>5</v>
      </c>
      <c r="K117">
        <v>5</v>
      </c>
    </row>
    <row r="118" spans="1:11" x14ac:dyDescent="0.3">
      <c r="A118">
        <v>1117</v>
      </c>
      <c r="B118" t="s">
        <v>26</v>
      </c>
      <c r="C118" t="s">
        <v>12</v>
      </c>
      <c r="D118">
        <v>39</v>
      </c>
      <c r="E118" t="s">
        <v>18</v>
      </c>
      <c r="F118" t="s">
        <v>37</v>
      </c>
      <c r="G118">
        <v>79870</v>
      </c>
      <c r="H118" s="1">
        <v>43716</v>
      </c>
      <c r="I118" t="s">
        <v>15</v>
      </c>
      <c r="J118">
        <v>10</v>
      </c>
      <c r="K118">
        <v>3</v>
      </c>
    </row>
    <row r="119" spans="1:11" x14ac:dyDescent="0.3">
      <c r="A119">
        <v>1118</v>
      </c>
      <c r="B119" t="s">
        <v>28</v>
      </c>
      <c r="C119" t="s">
        <v>17</v>
      </c>
      <c r="D119">
        <v>43</v>
      </c>
      <c r="E119" t="s">
        <v>42</v>
      </c>
      <c r="F119" t="s">
        <v>47</v>
      </c>
      <c r="G119">
        <v>43355</v>
      </c>
      <c r="H119" s="1">
        <v>44869</v>
      </c>
      <c r="I119" t="s">
        <v>15</v>
      </c>
      <c r="J119">
        <v>6</v>
      </c>
      <c r="K119">
        <v>2</v>
      </c>
    </row>
    <row r="120" spans="1:11" x14ac:dyDescent="0.3">
      <c r="A120">
        <v>1119</v>
      </c>
      <c r="B120" t="s">
        <v>31</v>
      </c>
      <c r="C120" t="s">
        <v>12</v>
      </c>
      <c r="D120">
        <v>33</v>
      </c>
      <c r="E120" t="s">
        <v>18</v>
      </c>
      <c r="F120" t="s">
        <v>19</v>
      </c>
      <c r="G120">
        <v>65382</v>
      </c>
      <c r="H120" s="1">
        <v>43451</v>
      </c>
      <c r="I120" t="s">
        <v>33</v>
      </c>
      <c r="J120">
        <v>15</v>
      </c>
      <c r="K120">
        <v>5</v>
      </c>
    </row>
    <row r="121" spans="1:11" x14ac:dyDescent="0.3">
      <c r="A121">
        <v>1120</v>
      </c>
      <c r="B121" t="s">
        <v>54</v>
      </c>
      <c r="C121" t="s">
        <v>12</v>
      </c>
      <c r="D121">
        <v>31</v>
      </c>
      <c r="E121" t="s">
        <v>42</v>
      </c>
      <c r="F121" t="s">
        <v>47</v>
      </c>
      <c r="G121">
        <v>63073</v>
      </c>
      <c r="H121" s="1">
        <v>44945</v>
      </c>
      <c r="I121" t="s">
        <v>15</v>
      </c>
      <c r="J121">
        <v>2</v>
      </c>
      <c r="K121">
        <v>3</v>
      </c>
    </row>
    <row r="122" spans="1:11" x14ac:dyDescent="0.3">
      <c r="A122">
        <v>1121</v>
      </c>
      <c r="B122" t="s">
        <v>26</v>
      </c>
      <c r="C122" t="s">
        <v>12</v>
      </c>
      <c r="D122">
        <v>27</v>
      </c>
      <c r="E122" t="s">
        <v>21</v>
      </c>
      <c r="F122" t="s">
        <v>22</v>
      </c>
      <c r="G122">
        <v>27261</v>
      </c>
      <c r="H122" s="1">
        <v>45044</v>
      </c>
      <c r="I122" t="s">
        <v>15</v>
      </c>
      <c r="J122">
        <v>11</v>
      </c>
      <c r="K122">
        <v>2</v>
      </c>
    </row>
    <row r="123" spans="1:11" x14ac:dyDescent="0.3">
      <c r="A123">
        <v>1122</v>
      </c>
      <c r="B123" t="s">
        <v>29</v>
      </c>
      <c r="C123" t="s">
        <v>17</v>
      </c>
      <c r="D123">
        <v>26</v>
      </c>
      <c r="E123" t="s">
        <v>34</v>
      </c>
      <c r="F123" t="s">
        <v>46</v>
      </c>
      <c r="G123">
        <v>68046</v>
      </c>
      <c r="H123" s="1">
        <v>45147</v>
      </c>
      <c r="I123" t="s">
        <v>15</v>
      </c>
      <c r="J123">
        <v>10</v>
      </c>
      <c r="K123">
        <v>5</v>
      </c>
    </row>
    <row r="124" spans="1:11" x14ac:dyDescent="0.3">
      <c r="A124">
        <v>1123</v>
      </c>
      <c r="B124" t="s">
        <v>44</v>
      </c>
      <c r="C124" t="s">
        <v>12</v>
      </c>
      <c r="D124">
        <v>27</v>
      </c>
      <c r="E124" t="s">
        <v>34</v>
      </c>
      <c r="F124" t="s">
        <v>35</v>
      </c>
      <c r="G124">
        <v>43678</v>
      </c>
      <c r="H124" s="1">
        <v>43216</v>
      </c>
      <c r="I124" t="s">
        <v>33</v>
      </c>
      <c r="J124">
        <v>9</v>
      </c>
      <c r="K124">
        <v>5</v>
      </c>
    </row>
    <row r="125" spans="1:11" x14ac:dyDescent="0.3">
      <c r="A125">
        <v>1124</v>
      </c>
      <c r="B125" t="s">
        <v>31</v>
      </c>
      <c r="C125" t="s">
        <v>17</v>
      </c>
      <c r="D125">
        <v>43</v>
      </c>
      <c r="E125" t="s">
        <v>18</v>
      </c>
      <c r="F125" t="s">
        <v>37</v>
      </c>
      <c r="G125">
        <v>65770</v>
      </c>
      <c r="H125" s="1">
        <v>44506</v>
      </c>
      <c r="I125" t="s">
        <v>15</v>
      </c>
      <c r="J125">
        <v>12</v>
      </c>
      <c r="K125">
        <v>3</v>
      </c>
    </row>
    <row r="126" spans="1:11" x14ac:dyDescent="0.3">
      <c r="A126">
        <v>1125</v>
      </c>
      <c r="B126" t="s">
        <v>20</v>
      </c>
      <c r="C126" t="s">
        <v>12</v>
      </c>
      <c r="D126">
        <v>26</v>
      </c>
      <c r="E126" t="s">
        <v>13</v>
      </c>
      <c r="F126" t="s">
        <v>14</v>
      </c>
      <c r="G126">
        <v>28940</v>
      </c>
      <c r="H126" s="1">
        <v>44702</v>
      </c>
      <c r="I126" t="s">
        <v>15</v>
      </c>
      <c r="J126">
        <v>11</v>
      </c>
      <c r="K126">
        <v>2</v>
      </c>
    </row>
    <row r="127" spans="1:11" x14ac:dyDescent="0.3">
      <c r="A127">
        <v>1126</v>
      </c>
      <c r="B127" t="s">
        <v>49</v>
      </c>
      <c r="C127" t="s">
        <v>12</v>
      </c>
      <c r="D127">
        <v>22</v>
      </c>
      <c r="E127" t="s">
        <v>42</v>
      </c>
      <c r="F127" t="s">
        <v>47</v>
      </c>
      <c r="G127">
        <v>81529</v>
      </c>
      <c r="H127" s="1">
        <v>43811</v>
      </c>
      <c r="I127" t="s">
        <v>15</v>
      </c>
      <c r="J127">
        <v>2</v>
      </c>
      <c r="K127">
        <v>3</v>
      </c>
    </row>
    <row r="128" spans="1:11" x14ac:dyDescent="0.3">
      <c r="A128">
        <v>1127</v>
      </c>
      <c r="B128" t="s">
        <v>54</v>
      </c>
      <c r="C128" t="s">
        <v>12</v>
      </c>
      <c r="D128">
        <v>32</v>
      </c>
      <c r="E128" t="s">
        <v>24</v>
      </c>
      <c r="F128" t="s">
        <v>25</v>
      </c>
      <c r="G128">
        <v>33439</v>
      </c>
      <c r="H128" s="1">
        <v>43604</v>
      </c>
      <c r="I128" t="s">
        <v>15</v>
      </c>
      <c r="J128">
        <v>8</v>
      </c>
      <c r="K128">
        <v>2</v>
      </c>
    </row>
    <row r="129" spans="1:11" x14ac:dyDescent="0.3">
      <c r="A129">
        <v>1128</v>
      </c>
      <c r="B129" t="s">
        <v>51</v>
      </c>
      <c r="C129" t="s">
        <v>12</v>
      </c>
      <c r="D129">
        <v>28</v>
      </c>
      <c r="E129" t="s">
        <v>18</v>
      </c>
      <c r="F129" t="s">
        <v>19</v>
      </c>
      <c r="G129">
        <v>50603</v>
      </c>
      <c r="H129" s="1">
        <v>43839</v>
      </c>
      <c r="I129" t="s">
        <v>15</v>
      </c>
      <c r="J129">
        <v>3</v>
      </c>
      <c r="K129">
        <v>2</v>
      </c>
    </row>
    <row r="130" spans="1:11" x14ac:dyDescent="0.3">
      <c r="A130">
        <v>1129</v>
      </c>
      <c r="B130" t="s">
        <v>31</v>
      </c>
      <c r="C130" t="s">
        <v>12</v>
      </c>
      <c r="D130">
        <v>45</v>
      </c>
      <c r="E130" t="s">
        <v>18</v>
      </c>
      <c r="F130" t="s">
        <v>37</v>
      </c>
      <c r="G130">
        <v>32757</v>
      </c>
      <c r="H130" s="1">
        <v>43879</v>
      </c>
      <c r="I130" t="s">
        <v>15</v>
      </c>
      <c r="J130">
        <v>1</v>
      </c>
      <c r="K130">
        <v>3</v>
      </c>
    </row>
    <row r="131" spans="1:11" x14ac:dyDescent="0.3">
      <c r="A131">
        <v>1130</v>
      </c>
      <c r="B131" t="s">
        <v>28</v>
      </c>
      <c r="C131" t="s">
        <v>17</v>
      </c>
      <c r="D131">
        <v>45</v>
      </c>
      <c r="E131" t="s">
        <v>34</v>
      </c>
      <c r="F131" t="s">
        <v>35</v>
      </c>
      <c r="G131">
        <v>84244</v>
      </c>
      <c r="H131" s="1">
        <v>43911</v>
      </c>
      <c r="I131" t="s">
        <v>15</v>
      </c>
      <c r="J131">
        <v>13</v>
      </c>
      <c r="K131">
        <v>4</v>
      </c>
    </row>
    <row r="132" spans="1:11" x14ac:dyDescent="0.3">
      <c r="A132">
        <v>1131</v>
      </c>
      <c r="B132" t="s">
        <v>53</v>
      </c>
      <c r="C132" t="s">
        <v>12</v>
      </c>
      <c r="D132">
        <v>44</v>
      </c>
      <c r="E132" t="s">
        <v>21</v>
      </c>
      <c r="F132" t="s">
        <v>32</v>
      </c>
      <c r="G132">
        <v>30419</v>
      </c>
      <c r="H132" s="1">
        <v>43594</v>
      </c>
      <c r="I132" t="s">
        <v>15</v>
      </c>
      <c r="J132">
        <v>2</v>
      </c>
      <c r="K132">
        <v>2</v>
      </c>
    </row>
    <row r="133" spans="1:11" x14ac:dyDescent="0.3">
      <c r="A133">
        <v>1132</v>
      </c>
      <c r="B133" t="s">
        <v>53</v>
      </c>
      <c r="C133" t="s">
        <v>17</v>
      </c>
      <c r="D133">
        <v>45</v>
      </c>
      <c r="E133" t="s">
        <v>21</v>
      </c>
      <c r="F133" t="s">
        <v>22</v>
      </c>
      <c r="G133">
        <v>57280</v>
      </c>
      <c r="H133" s="1">
        <v>43161</v>
      </c>
      <c r="I133" t="s">
        <v>15</v>
      </c>
      <c r="J133">
        <v>14</v>
      </c>
      <c r="K133">
        <v>2</v>
      </c>
    </row>
    <row r="134" spans="1:11" x14ac:dyDescent="0.3">
      <c r="A134">
        <v>1133</v>
      </c>
      <c r="B134" t="s">
        <v>41</v>
      </c>
      <c r="C134" t="s">
        <v>17</v>
      </c>
      <c r="D134">
        <v>30</v>
      </c>
      <c r="E134" t="s">
        <v>34</v>
      </c>
      <c r="F134" t="s">
        <v>46</v>
      </c>
      <c r="G134">
        <v>38173</v>
      </c>
      <c r="H134" s="1">
        <v>44172</v>
      </c>
      <c r="I134" t="s">
        <v>15</v>
      </c>
      <c r="J134">
        <v>14</v>
      </c>
      <c r="K134">
        <v>4</v>
      </c>
    </row>
    <row r="135" spans="1:11" x14ac:dyDescent="0.3">
      <c r="A135">
        <v>1134</v>
      </c>
      <c r="B135" t="s">
        <v>20</v>
      </c>
      <c r="C135" t="s">
        <v>17</v>
      </c>
      <c r="D135">
        <v>40</v>
      </c>
      <c r="E135" t="s">
        <v>42</v>
      </c>
      <c r="F135" t="s">
        <v>47</v>
      </c>
      <c r="G135">
        <v>46864</v>
      </c>
      <c r="H135" s="1">
        <v>43703</v>
      </c>
      <c r="I135" t="s">
        <v>15</v>
      </c>
      <c r="J135">
        <v>1</v>
      </c>
      <c r="K135">
        <v>5</v>
      </c>
    </row>
    <row r="136" spans="1:11" x14ac:dyDescent="0.3">
      <c r="A136">
        <v>1135</v>
      </c>
      <c r="B136" t="s">
        <v>23</v>
      </c>
      <c r="C136" t="s">
        <v>12</v>
      </c>
      <c r="D136">
        <v>44</v>
      </c>
      <c r="E136" t="s">
        <v>34</v>
      </c>
      <c r="F136" t="s">
        <v>35</v>
      </c>
      <c r="G136">
        <v>74281</v>
      </c>
      <c r="H136" s="1">
        <v>44073</v>
      </c>
      <c r="I136" t="s">
        <v>15</v>
      </c>
      <c r="J136">
        <v>9</v>
      </c>
      <c r="K136">
        <v>2</v>
      </c>
    </row>
    <row r="137" spans="1:11" x14ac:dyDescent="0.3">
      <c r="A137">
        <v>1136</v>
      </c>
      <c r="B137" t="s">
        <v>51</v>
      </c>
      <c r="C137" t="s">
        <v>17</v>
      </c>
      <c r="D137">
        <v>26</v>
      </c>
      <c r="E137" t="s">
        <v>13</v>
      </c>
      <c r="F137" t="s">
        <v>38</v>
      </c>
      <c r="G137">
        <v>58136</v>
      </c>
      <c r="H137" s="1">
        <v>44205</v>
      </c>
      <c r="I137" t="s">
        <v>15</v>
      </c>
      <c r="J137">
        <v>11</v>
      </c>
      <c r="K137">
        <v>5</v>
      </c>
    </row>
    <row r="138" spans="1:11" x14ac:dyDescent="0.3">
      <c r="A138">
        <v>1137</v>
      </c>
      <c r="B138" t="s">
        <v>20</v>
      </c>
      <c r="C138" t="s">
        <v>17</v>
      </c>
      <c r="D138">
        <v>29</v>
      </c>
      <c r="E138" t="s">
        <v>18</v>
      </c>
      <c r="F138" t="s">
        <v>37</v>
      </c>
      <c r="G138">
        <v>38022</v>
      </c>
      <c r="H138" s="1">
        <v>43264</v>
      </c>
      <c r="I138" t="s">
        <v>15</v>
      </c>
      <c r="J138">
        <v>9</v>
      </c>
      <c r="K138">
        <v>3</v>
      </c>
    </row>
    <row r="139" spans="1:11" x14ac:dyDescent="0.3">
      <c r="A139">
        <v>1138</v>
      </c>
      <c r="B139" t="s">
        <v>16</v>
      </c>
      <c r="C139" t="s">
        <v>17</v>
      </c>
      <c r="D139">
        <v>26</v>
      </c>
      <c r="E139" t="s">
        <v>34</v>
      </c>
      <c r="F139" t="s">
        <v>46</v>
      </c>
      <c r="G139">
        <v>89935</v>
      </c>
      <c r="H139" s="1">
        <v>43104</v>
      </c>
      <c r="I139" t="s">
        <v>15</v>
      </c>
      <c r="J139">
        <v>12</v>
      </c>
      <c r="K139">
        <v>5</v>
      </c>
    </row>
    <row r="140" spans="1:11" x14ac:dyDescent="0.3">
      <c r="A140">
        <v>1139</v>
      </c>
      <c r="B140" t="s">
        <v>26</v>
      </c>
      <c r="C140" t="s">
        <v>12</v>
      </c>
      <c r="D140">
        <v>25</v>
      </c>
      <c r="E140" t="s">
        <v>21</v>
      </c>
      <c r="F140" t="s">
        <v>22</v>
      </c>
      <c r="G140">
        <v>60918</v>
      </c>
      <c r="H140" s="1">
        <v>43752</v>
      </c>
      <c r="I140" t="s">
        <v>15</v>
      </c>
      <c r="J140">
        <v>6</v>
      </c>
      <c r="K140">
        <v>5</v>
      </c>
    </row>
    <row r="141" spans="1:11" x14ac:dyDescent="0.3">
      <c r="A141">
        <v>1140</v>
      </c>
      <c r="B141" t="s">
        <v>40</v>
      </c>
      <c r="C141" t="s">
        <v>17</v>
      </c>
      <c r="D141">
        <v>23</v>
      </c>
      <c r="E141" t="s">
        <v>13</v>
      </c>
      <c r="F141" t="s">
        <v>14</v>
      </c>
      <c r="G141">
        <v>78005</v>
      </c>
      <c r="H141" s="1">
        <v>44438</v>
      </c>
      <c r="I141" t="s">
        <v>15</v>
      </c>
      <c r="J141">
        <v>8</v>
      </c>
      <c r="K141">
        <v>3</v>
      </c>
    </row>
    <row r="142" spans="1:11" x14ac:dyDescent="0.3">
      <c r="A142">
        <v>1141</v>
      </c>
      <c r="B142" t="s">
        <v>29</v>
      </c>
      <c r="C142" t="s">
        <v>17</v>
      </c>
      <c r="D142">
        <v>34</v>
      </c>
      <c r="E142" t="s">
        <v>34</v>
      </c>
      <c r="F142" t="s">
        <v>35</v>
      </c>
      <c r="G142">
        <v>87798</v>
      </c>
      <c r="H142" s="1">
        <v>45563</v>
      </c>
      <c r="I142" t="s">
        <v>15</v>
      </c>
      <c r="J142">
        <v>13</v>
      </c>
      <c r="K142">
        <v>2</v>
      </c>
    </row>
    <row r="143" spans="1:11" x14ac:dyDescent="0.3">
      <c r="A143">
        <v>1142</v>
      </c>
      <c r="B143" t="s">
        <v>28</v>
      </c>
      <c r="C143" t="s">
        <v>12</v>
      </c>
      <c r="D143">
        <v>23</v>
      </c>
      <c r="E143" t="s">
        <v>34</v>
      </c>
      <c r="F143" t="s">
        <v>46</v>
      </c>
      <c r="G143">
        <v>49860</v>
      </c>
      <c r="H143" s="1">
        <v>44234</v>
      </c>
      <c r="I143" t="s">
        <v>15</v>
      </c>
      <c r="J143">
        <v>15</v>
      </c>
      <c r="K143">
        <v>2</v>
      </c>
    </row>
    <row r="144" spans="1:11" x14ac:dyDescent="0.3">
      <c r="A144">
        <v>1143</v>
      </c>
      <c r="B144" t="s">
        <v>49</v>
      </c>
      <c r="C144" t="s">
        <v>17</v>
      </c>
      <c r="D144">
        <v>34</v>
      </c>
      <c r="E144" t="s">
        <v>42</v>
      </c>
      <c r="F144" t="s">
        <v>43</v>
      </c>
      <c r="G144">
        <v>77924</v>
      </c>
      <c r="H144" s="1">
        <v>45181</v>
      </c>
      <c r="I144" t="s">
        <v>15</v>
      </c>
      <c r="J144">
        <v>1</v>
      </c>
      <c r="K144">
        <v>2</v>
      </c>
    </row>
    <row r="145" spans="1:11" x14ac:dyDescent="0.3">
      <c r="A145">
        <v>1144</v>
      </c>
      <c r="B145" t="s">
        <v>28</v>
      </c>
      <c r="C145" t="s">
        <v>12</v>
      </c>
      <c r="D145">
        <v>37</v>
      </c>
      <c r="E145" t="s">
        <v>34</v>
      </c>
      <c r="F145" t="s">
        <v>35</v>
      </c>
      <c r="G145">
        <v>75680</v>
      </c>
      <c r="H145" s="1">
        <v>44882</v>
      </c>
      <c r="I145" t="s">
        <v>15</v>
      </c>
      <c r="J145">
        <v>9</v>
      </c>
      <c r="K145">
        <v>3</v>
      </c>
    </row>
    <row r="146" spans="1:11" x14ac:dyDescent="0.3">
      <c r="A146">
        <v>1145</v>
      </c>
      <c r="B146" t="s">
        <v>20</v>
      </c>
      <c r="C146" t="s">
        <v>17</v>
      </c>
      <c r="D146">
        <v>35</v>
      </c>
      <c r="E146" t="s">
        <v>42</v>
      </c>
      <c r="F146" t="s">
        <v>43</v>
      </c>
      <c r="G146">
        <v>46505</v>
      </c>
      <c r="H146" s="1">
        <v>43286</v>
      </c>
      <c r="I146" t="s">
        <v>15</v>
      </c>
      <c r="J146">
        <v>9</v>
      </c>
      <c r="K146">
        <v>5</v>
      </c>
    </row>
    <row r="147" spans="1:11" x14ac:dyDescent="0.3">
      <c r="A147">
        <v>1146</v>
      </c>
      <c r="B147" t="s">
        <v>29</v>
      </c>
      <c r="C147" t="s">
        <v>12</v>
      </c>
      <c r="D147">
        <v>33</v>
      </c>
      <c r="E147" t="s">
        <v>42</v>
      </c>
      <c r="F147" t="s">
        <v>43</v>
      </c>
      <c r="G147">
        <v>47355</v>
      </c>
      <c r="H147" s="1">
        <v>44245</v>
      </c>
      <c r="I147" t="s">
        <v>15</v>
      </c>
      <c r="J147">
        <v>9</v>
      </c>
      <c r="K147">
        <v>2</v>
      </c>
    </row>
    <row r="148" spans="1:11" x14ac:dyDescent="0.3">
      <c r="A148">
        <v>1147</v>
      </c>
      <c r="B148" t="s">
        <v>28</v>
      </c>
      <c r="C148" t="s">
        <v>12</v>
      </c>
      <c r="D148">
        <v>38</v>
      </c>
      <c r="E148" t="s">
        <v>34</v>
      </c>
      <c r="F148" t="s">
        <v>46</v>
      </c>
      <c r="G148">
        <v>39140</v>
      </c>
      <c r="H148" s="1">
        <v>43962</v>
      </c>
      <c r="I148" t="s">
        <v>15</v>
      </c>
      <c r="J148">
        <v>2</v>
      </c>
      <c r="K148">
        <v>2</v>
      </c>
    </row>
    <row r="149" spans="1:11" x14ac:dyDescent="0.3">
      <c r="A149">
        <v>1148</v>
      </c>
      <c r="B149" t="s">
        <v>29</v>
      </c>
      <c r="C149" t="s">
        <v>12</v>
      </c>
      <c r="D149">
        <v>41</v>
      </c>
      <c r="E149" t="s">
        <v>21</v>
      </c>
      <c r="F149" t="s">
        <v>32</v>
      </c>
      <c r="G149">
        <v>44322</v>
      </c>
      <c r="H149" s="1">
        <v>45549</v>
      </c>
      <c r="I149" t="s">
        <v>15</v>
      </c>
      <c r="J149">
        <v>11</v>
      </c>
      <c r="K149">
        <v>2</v>
      </c>
    </row>
    <row r="150" spans="1:11" x14ac:dyDescent="0.3">
      <c r="A150">
        <v>1149</v>
      </c>
      <c r="B150" t="s">
        <v>30</v>
      </c>
      <c r="C150" t="s">
        <v>12</v>
      </c>
      <c r="D150">
        <v>45</v>
      </c>
      <c r="E150" t="s">
        <v>21</v>
      </c>
      <c r="F150" t="s">
        <v>32</v>
      </c>
      <c r="G150">
        <v>46815</v>
      </c>
      <c r="H150" s="1">
        <v>43104</v>
      </c>
      <c r="I150" t="s">
        <v>15</v>
      </c>
      <c r="J150">
        <v>7</v>
      </c>
      <c r="K150">
        <v>2</v>
      </c>
    </row>
    <row r="151" spans="1:11" x14ac:dyDescent="0.3">
      <c r="A151">
        <v>1150</v>
      </c>
      <c r="B151" t="s">
        <v>11</v>
      </c>
      <c r="C151" t="s">
        <v>17</v>
      </c>
      <c r="D151">
        <v>43</v>
      </c>
      <c r="E151" t="s">
        <v>21</v>
      </c>
      <c r="F151" t="s">
        <v>32</v>
      </c>
      <c r="G151">
        <v>83770</v>
      </c>
      <c r="H151" s="1">
        <v>43643</v>
      </c>
      <c r="I151" t="s">
        <v>15</v>
      </c>
      <c r="J151">
        <v>1</v>
      </c>
      <c r="K151">
        <v>3</v>
      </c>
    </row>
    <row r="152" spans="1:11" x14ac:dyDescent="0.3">
      <c r="A152">
        <v>1151</v>
      </c>
      <c r="B152" t="s">
        <v>54</v>
      </c>
      <c r="C152" t="s">
        <v>17</v>
      </c>
      <c r="D152">
        <v>39</v>
      </c>
      <c r="E152" t="s">
        <v>13</v>
      </c>
      <c r="F152" t="s">
        <v>14</v>
      </c>
      <c r="G152">
        <v>43866</v>
      </c>
      <c r="H152" s="1">
        <v>44575</v>
      </c>
      <c r="I152" t="s">
        <v>15</v>
      </c>
      <c r="J152">
        <v>5</v>
      </c>
      <c r="K152">
        <v>2</v>
      </c>
    </row>
    <row r="153" spans="1:11" x14ac:dyDescent="0.3">
      <c r="A153">
        <v>1152</v>
      </c>
      <c r="B153" t="s">
        <v>36</v>
      </c>
      <c r="C153" t="s">
        <v>17</v>
      </c>
      <c r="D153">
        <v>35</v>
      </c>
      <c r="E153" t="s">
        <v>18</v>
      </c>
      <c r="F153" t="s">
        <v>39</v>
      </c>
      <c r="G153">
        <v>36544</v>
      </c>
      <c r="H153" s="1">
        <v>44859</v>
      </c>
      <c r="I153" t="s">
        <v>15</v>
      </c>
      <c r="J153">
        <v>2</v>
      </c>
      <c r="K153">
        <v>4</v>
      </c>
    </row>
    <row r="154" spans="1:11" x14ac:dyDescent="0.3">
      <c r="A154">
        <v>1153</v>
      </c>
      <c r="B154" t="s">
        <v>31</v>
      </c>
      <c r="C154" t="s">
        <v>12</v>
      </c>
      <c r="D154">
        <v>25</v>
      </c>
      <c r="E154" t="s">
        <v>21</v>
      </c>
      <c r="F154" t="s">
        <v>32</v>
      </c>
      <c r="G154">
        <v>53245</v>
      </c>
      <c r="H154" s="1">
        <v>43286</v>
      </c>
      <c r="I154" t="s">
        <v>33</v>
      </c>
      <c r="J154">
        <v>10</v>
      </c>
      <c r="K154">
        <v>2</v>
      </c>
    </row>
    <row r="155" spans="1:11" x14ac:dyDescent="0.3">
      <c r="A155">
        <v>1154</v>
      </c>
      <c r="B155" t="s">
        <v>11</v>
      </c>
      <c r="C155" t="s">
        <v>12</v>
      </c>
      <c r="D155">
        <v>33</v>
      </c>
      <c r="E155" t="s">
        <v>34</v>
      </c>
      <c r="F155" t="s">
        <v>46</v>
      </c>
      <c r="G155">
        <v>52800</v>
      </c>
      <c r="H155" s="1">
        <v>43974</v>
      </c>
      <c r="I155" t="s">
        <v>15</v>
      </c>
      <c r="J155">
        <v>3</v>
      </c>
      <c r="K155">
        <v>5</v>
      </c>
    </row>
    <row r="156" spans="1:11" x14ac:dyDescent="0.3">
      <c r="A156">
        <v>1155</v>
      </c>
      <c r="B156" t="s">
        <v>23</v>
      </c>
      <c r="C156" t="s">
        <v>12</v>
      </c>
      <c r="D156">
        <v>44</v>
      </c>
      <c r="E156" t="s">
        <v>42</v>
      </c>
      <c r="F156" t="s">
        <v>47</v>
      </c>
      <c r="G156">
        <v>27643</v>
      </c>
      <c r="H156" s="1">
        <v>43162</v>
      </c>
      <c r="I156" t="s">
        <v>15</v>
      </c>
      <c r="J156">
        <v>4</v>
      </c>
      <c r="K156">
        <v>3</v>
      </c>
    </row>
    <row r="157" spans="1:11" x14ac:dyDescent="0.3">
      <c r="A157">
        <v>1156</v>
      </c>
      <c r="B157" t="s">
        <v>28</v>
      </c>
      <c r="C157" t="s">
        <v>12</v>
      </c>
      <c r="D157">
        <v>33</v>
      </c>
      <c r="E157" t="s">
        <v>42</v>
      </c>
      <c r="F157" t="s">
        <v>47</v>
      </c>
      <c r="G157">
        <v>80441</v>
      </c>
      <c r="H157" s="1">
        <v>43645</v>
      </c>
      <c r="I157" t="s">
        <v>15</v>
      </c>
      <c r="J157">
        <v>4</v>
      </c>
      <c r="K157">
        <v>5</v>
      </c>
    </row>
    <row r="158" spans="1:11" x14ac:dyDescent="0.3">
      <c r="A158">
        <v>1157</v>
      </c>
      <c r="B158" t="s">
        <v>29</v>
      </c>
      <c r="C158" t="s">
        <v>17</v>
      </c>
      <c r="D158">
        <v>39</v>
      </c>
      <c r="E158" t="s">
        <v>34</v>
      </c>
      <c r="F158" t="s">
        <v>46</v>
      </c>
      <c r="G158">
        <v>54027</v>
      </c>
      <c r="H158" s="1">
        <v>43888</v>
      </c>
      <c r="I158" t="s">
        <v>15</v>
      </c>
      <c r="J158">
        <v>9</v>
      </c>
      <c r="K158">
        <v>2</v>
      </c>
    </row>
    <row r="159" spans="1:11" x14ac:dyDescent="0.3">
      <c r="A159">
        <v>1158</v>
      </c>
      <c r="B159" t="s">
        <v>23</v>
      </c>
      <c r="C159" t="s">
        <v>17</v>
      </c>
      <c r="D159">
        <v>25</v>
      </c>
      <c r="E159" t="s">
        <v>13</v>
      </c>
      <c r="F159" t="s">
        <v>14</v>
      </c>
      <c r="G159">
        <v>25013</v>
      </c>
      <c r="H159" s="1">
        <v>43496</v>
      </c>
      <c r="I159" t="s">
        <v>15</v>
      </c>
      <c r="J159">
        <v>10</v>
      </c>
      <c r="K159">
        <v>5</v>
      </c>
    </row>
    <row r="160" spans="1:11" x14ac:dyDescent="0.3">
      <c r="A160">
        <v>1159</v>
      </c>
      <c r="B160" t="s">
        <v>48</v>
      </c>
      <c r="C160" t="s">
        <v>12</v>
      </c>
      <c r="D160">
        <v>44</v>
      </c>
      <c r="E160" t="s">
        <v>24</v>
      </c>
      <c r="F160" t="s">
        <v>25</v>
      </c>
      <c r="G160">
        <v>29141</v>
      </c>
      <c r="H160" s="1">
        <v>45000</v>
      </c>
      <c r="I160" t="s">
        <v>15</v>
      </c>
      <c r="J160">
        <v>13</v>
      </c>
      <c r="K160">
        <v>4</v>
      </c>
    </row>
    <row r="161" spans="1:11" x14ac:dyDescent="0.3">
      <c r="A161">
        <v>1160</v>
      </c>
      <c r="B161" t="s">
        <v>11</v>
      </c>
      <c r="C161" t="s">
        <v>17</v>
      </c>
      <c r="D161">
        <v>30</v>
      </c>
      <c r="E161" t="s">
        <v>24</v>
      </c>
      <c r="F161" t="s">
        <v>25</v>
      </c>
      <c r="G161">
        <v>32417</v>
      </c>
      <c r="H161" s="1">
        <v>45430</v>
      </c>
      <c r="I161" t="s">
        <v>33</v>
      </c>
      <c r="J161">
        <v>10</v>
      </c>
      <c r="K161">
        <v>5</v>
      </c>
    </row>
    <row r="162" spans="1:11" x14ac:dyDescent="0.3">
      <c r="A162">
        <v>1161</v>
      </c>
      <c r="B162" t="s">
        <v>11</v>
      </c>
      <c r="C162" t="s">
        <v>12</v>
      </c>
      <c r="D162">
        <v>40</v>
      </c>
      <c r="E162" t="s">
        <v>18</v>
      </c>
      <c r="F162" t="s">
        <v>37</v>
      </c>
      <c r="G162">
        <v>41655</v>
      </c>
      <c r="H162" s="1">
        <v>45284</v>
      </c>
      <c r="I162" t="s">
        <v>15</v>
      </c>
      <c r="J162">
        <v>7</v>
      </c>
      <c r="K162">
        <v>3</v>
      </c>
    </row>
    <row r="163" spans="1:11" x14ac:dyDescent="0.3">
      <c r="A163">
        <v>1162</v>
      </c>
      <c r="B163" t="s">
        <v>31</v>
      </c>
      <c r="C163" t="s">
        <v>17</v>
      </c>
      <c r="D163">
        <v>22</v>
      </c>
      <c r="E163" t="s">
        <v>13</v>
      </c>
      <c r="F163" t="s">
        <v>38</v>
      </c>
      <c r="G163">
        <v>81228</v>
      </c>
      <c r="H163" s="1">
        <v>44355</v>
      </c>
      <c r="I163" t="s">
        <v>15</v>
      </c>
      <c r="J163">
        <v>3</v>
      </c>
      <c r="K163">
        <v>3</v>
      </c>
    </row>
    <row r="164" spans="1:11" x14ac:dyDescent="0.3">
      <c r="A164">
        <v>1163</v>
      </c>
      <c r="B164" t="s">
        <v>36</v>
      </c>
      <c r="C164" t="s">
        <v>12</v>
      </c>
      <c r="D164">
        <v>35</v>
      </c>
      <c r="E164" t="s">
        <v>34</v>
      </c>
      <c r="F164" t="s">
        <v>46</v>
      </c>
      <c r="G164">
        <v>89582</v>
      </c>
      <c r="H164" s="1">
        <v>43428</v>
      </c>
      <c r="I164" t="s">
        <v>15</v>
      </c>
      <c r="J164">
        <v>12</v>
      </c>
      <c r="K164">
        <v>2</v>
      </c>
    </row>
    <row r="165" spans="1:11" x14ac:dyDescent="0.3">
      <c r="A165">
        <v>1164</v>
      </c>
      <c r="B165" t="s">
        <v>41</v>
      </c>
      <c r="C165" t="s">
        <v>17</v>
      </c>
      <c r="D165">
        <v>40</v>
      </c>
      <c r="E165" t="s">
        <v>18</v>
      </c>
      <c r="F165" t="s">
        <v>37</v>
      </c>
      <c r="G165">
        <v>34876</v>
      </c>
      <c r="H165" s="1">
        <v>43356</v>
      </c>
      <c r="I165" t="s">
        <v>15</v>
      </c>
      <c r="J165">
        <v>14</v>
      </c>
      <c r="K165">
        <v>3</v>
      </c>
    </row>
    <row r="166" spans="1:11" x14ac:dyDescent="0.3">
      <c r="A166">
        <v>1165</v>
      </c>
      <c r="B166" t="s">
        <v>30</v>
      </c>
      <c r="C166" t="s">
        <v>12</v>
      </c>
      <c r="D166">
        <v>38</v>
      </c>
      <c r="E166" t="s">
        <v>18</v>
      </c>
      <c r="F166" t="s">
        <v>39</v>
      </c>
      <c r="G166">
        <v>76737</v>
      </c>
      <c r="H166" s="1">
        <v>43176</v>
      </c>
      <c r="I166" t="s">
        <v>15</v>
      </c>
      <c r="J166">
        <v>13</v>
      </c>
      <c r="K166">
        <v>5</v>
      </c>
    </row>
    <row r="167" spans="1:11" x14ac:dyDescent="0.3">
      <c r="A167">
        <v>1166</v>
      </c>
      <c r="B167" t="s">
        <v>28</v>
      </c>
      <c r="C167" t="s">
        <v>12</v>
      </c>
      <c r="D167">
        <v>43</v>
      </c>
      <c r="E167" t="s">
        <v>18</v>
      </c>
      <c r="F167" t="s">
        <v>19</v>
      </c>
      <c r="G167">
        <v>85560</v>
      </c>
      <c r="H167" s="1">
        <v>45125</v>
      </c>
      <c r="I167" t="s">
        <v>15</v>
      </c>
      <c r="J167">
        <v>12</v>
      </c>
      <c r="K167">
        <v>4</v>
      </c>
    </row>
    <row r="168" spans="1:11" x14ac:dyDescent="0.3">
      <c r="A168">
        <v>1167</v>
      </c>
      <c r="B168" t="s">
        <v>45</v>
      </c>
      <c r="C168" t="s">
        <v>17</v>
      </c>
      <c r="D168">
        <v>25</v>
      </c>
      <c r="E168" t="s">
        <v>42</v>
      </c>
      <c r="F168" t="s">
        <v>47</v>
      </c>
      <c r="G168">
        <v>39045</v>
      </c>
      <c r="H168" s="1">
        <v>44638</v>
      </c>
      <c r="I168" t="s">
        <v>15</v>
      </c>
      <c r="J168">
        <v>8</v>
      </c>
      <c r="K168">
        <v>5</v>
      </c>
    </row>
    <row r="169" spans="1:11" x14ac:dyDescent="0.3">
      <c r="A169">
        <v>1168</v>
      </c>
      <c r="B169" t="s">
        <v>16</v>
      </c>
      <c r="C169" t="s">
        <v>17</v>
      </c>
      <c r="D169">
        <v>30</v>
      </c>
      <c r="E169" t="s">
        <v>42</v>
      </c>
      <c r="F169" t="s">
        <v>47</v>
      </c>
      <c r="G169">
        <v>66408</v>
      </c>
      <c r="H169" s="1">
        <v>44595</v>
      </c>
      <c r="I169" t="s">
        <v>15</v>
      </c>
      <c r="J169">
        <v>3</v>
      </c>
      <c r="K169">
        <v>2</v>
      </c>
    </row>
    <row r="170" spans="1:11" x14ac:dyDescent="0.3">
      <c r="A170">
        <v>1169</v>
      </c>
      <c r="B170" t="s">
        <v>29</v>
      </c>
      <c r="C170" t="s">
        <v>12</v>
      </c>
      <c r="D170">
        <v>26</v>
      </c>
      <c r="E170" t="s">
        <v>21</v>
      </c>
      <c r="F170" t="s">
        <v>32</v>
      </c>
      <c r="G170">
        <v>69744</v>
      </c>
      <c r="H170" s="1">
        <v>45488</v>
      </c>
      <c r="I170" t="s">
        <v>15</v>
      </c>
      <c r="J170">
        <v>13</v>
      </c>
      <c r="K170">
        <v>4</v>
      </c>
    </row>
    <row r="171" spans="1:11" x14ac:dyDescent="0.3">
      <c r="A171">
        <v>1170</v>
      </c>
      <c r="B171" t="s">
        <v>41</v>
      </c>
      <c r="C171" t="s">
        <v>17</v>
      </c>
      <c r="D171">
        <v>22</v>
      </c>
      <c r="E171" t="s">
        <v>13</v>
      </c>
      <c r="F171" t="s">
        <v>38</v>
      </c>
      <c r="G171">
        <v>62260</v>
      </c>
      <c r="H171" s="1">
        <v>44882</v>
      </c>
      <c r="I171" t="s">
        <v>15</v>
      </c>
      <c r="J171">
        <v>7</v>
      </c>
      <c r="K171">
        <v>2</v>
      </c>
    </row>
    <row r="172" spans="1:11" x14ac:dyDescent="0.3">
      <c r="A172">
        <v>1171</v>
      </c>
      <c r="B172" t="s">
        <v>49</v>
      </c>
      <c r="C172" t="s">
        <v>17</v>
      </c>
      <c r="D172">
        <v>43</v>
      </c>
      <c r="E172" t="s">
        <v>13</v>
      </c>
      <c r="F172" t="s">
        <v>38</v>
      </c>
      <c r="G172">
        <v>73234</v>
      </c>
      <c r="H172" s="1">
        <v>45182</v>
      </c>
      <c r="I172" t="s">
        <v>15</v>
      </c>
      <c r="J172">
        <v>7</v>
      </c>
      <c r="K172">
        <v>3</v>
      </c>
    </row>
    <row r="173" spans="1:11" x14ac:dyDescent="0.3">
      <c r="A173">
        <v>1172</v>
      </c>
      <c r="B173" t="s">
        <v>26</v>
      </c>
      <c r="C173" t="s">
        <v>17</v>
      </c>
      <c r="D173">
        <v>24</v>
      </c>
      <c r="E173" t="s">
        <v>18</v>
      </c>
      <c r="F173" t="s">
        <v>19</v>
      </c>
      <c r="G173">
        <v>30240</v>
      </c>
      <c r="H173" s="1">
        <v>44063</v>
      </c>
      <c r="I173" t="s">
        <v>15</v>
      </c>
      <c r="J173">
        <v>6</v>
      </c>
      <c r="K173">
        <v>2</v>
      </c>
    </row>
    <row r="174" spans="1:11" x14ac:dyDescent="0.3">
      <c r="A174">
        <v>1173</v>
      </c>
      <c r="B174" t="s">
        <v>23</v>
      </c>
      <c r="C174" t="s">
        <v>12</v>
      </c>
      <c r="D174">
        <v>30</v>
      </c>
      <c r="E174" t="s">
        <v>24</v>
      </c>
      <c r="F174" t="s">
        <v>50</v>
      </c>
      <c r="G174">
        <v>35284</v>
      </c>
      <c r="H174" s="1">
        <v>45450</v>
      </c>
      <c r="I174" t="s">
        <v>15</v>
      </c>
      <c r="J174">
        <v>14</v>
      </c>
      <c r="K174">
        <v>5</v>
      </c>
    </row>
    <row r="175" spans="1:11" x14ac:dyDescent="0.3">
      <c r="A175">
        <v>1174</v>
      </c>
      <c r="B175" t="s">
        <v>40</v>
      </c>
      <c r="C175" t="s">
        <v>17</v>
      </c>
      <c r="D175">
        <v>24</v>
      </c>
      <c r="E175" t="s">
        <v>34</v>
      </c>
      <c r="F175" t="s">
        <v>35</v>
      </c>
      <c r="G175">
        <v>33950</v>
      </c>
      <c r="H175" s="1">
        <v>45168</v>
      </c>
      <c r="I175" t="s">
        <v>15</v>
      </c>
      <c r="J175">
        <v>9</v>
      </c>
      <c r="K175">
        <v>4</v>
      </c>
    </row>
    <row r="176" spans="1:11" x14ac:dyDescent="0.3">
      <c r="A176">
        <v>1175</v>
      </c>
      <c r="B176" t="s">
        <v>54</v>
      </c>
      <c r="C176" t="s">
        <v>17</v>
      </c>
      <c r="D176">
        <v>30</v>
      </c>
      <c r="E176" t="s">
        <v>24</v>
      </c>
      <c r="F176" t="s">
        <v>25</v>
      </c>
      <c r="G176">
        <v>33772</v>
      </c>
      <c r="H176" s="1">
        <v>43401</v>
      </c>
      <c r="I176" t="s">
        <v>15</v>
      </c>
      <c r="J176">
        <v>13</v>
      </c>
      <c r="K176">
        <v>2</v>
      </c>
    </row>
    <row r="177" spans="1:11" x14ac:dyDescent="0.3">
      <c r="A177">
        <v>1176</v>
      </c>
      <c r="B177" t="s">
        <v>41</v>
      </c>
      <c r="C177" t="s">
        <v>17</v>
      </c>
      <c r="D177">
        <v>40</v>
      </c>
      <c r="E177" t="s">
        <v>13</v>
      </c>
      <c r="F177" t="s">
        <v>14</v>
      </c>
      <c r="G177">
        <v>29761</v>
      </c>
      <c r="H177" s="1">
        <v>43511</v>
      </c>
      <c r="I177" t="s">
        <v>15</v>
      </c>
      <c r="J177">
        <v>5</v>
      </c>
      <c r="K177">
        <v>3</v>
      </c>
    </row>
    <row r="178" spans="1:11" x14ac:dyDescent="0.3">
      <c r="A178">
        <v>1177</v>
      </c>
      <c r="B178" t="s">
        <v>49</v>
      </c>
      <c r="C178" t="s">
        <v>17</v>
      </c>
      <c r="D178">
        <v>38</v>
      </c>
      <c r="E178" t="s">
        <v>13</v>
      </c>
      <c r="F178" t="s">
        <v>14</v>
      </c>
      <c r="G178">
        <v>76530</v>
      </c>
      <c r="H178" s="1">
        <v>44039</v>
      </c>
      <c r="I178" t="s">
        <v>33</v>
      </c>
      <c r="J178">
        <v>4</v>
      </c>
      <c r="K178">
        <v>4</v>
      </c>
    </row>
    <row r="179" spans="1:11" x14ac:dyDescent="0.3">
      <c r="A179">
        <v>1178</v>
      </c>
      <c r="B179" t="s">
        <v>16</v>
      </c>
      <c r="C179" t="s">
        <v>17</v>
      </c>
      <c r="D179">
        <v>33</v>
      </c>
      <c r="E179" t="s">
        <v>24</v>
      </c>
      <c r="F179" t="s">
        <v>25</v>
      </c>
      <c r="G179">
        <v>60894</v>
      </c>
      <c r="H179" s="1">
        <v>44612</v>
      </c>
      <c r="I179" t="s">
        <v>15</v>
      </c>
      <c r="J179">
        <v>14</v>
      </c>
      <c r="K179">
        <v>4</v>
      </c>
    </row>
    <row r="180" spans="1:11" x14ac:dyDescent="0.3">
      <c r="A180">
        <v>1179</v>
      </c>
      <c r="B180" t="s">
        <v>45</v>
      </c>
      <c r="C180" t="s">
        <v>17</v>
      </c>
      <c r="D180">
        <v>30</v>
      </c>
      <c r="E180" t="s">
        <v>24</v>
      </c>
      <c r="F180" t="s">
        <v>25</v>
      </c>
      <c r="G180">
        <v>26896</v>
      </c>
      <c r="H180" s="1">
        <v>45391</v>
      </c>
      <c r="I180" t="s">
        <v>15</v>
      </c>
      <c r="J180">
        <v>9</v>
      </c>
      <c r="K180">
        <v>2</v>
      </c>
    </row>
    <row r="181" spans="1:11" x14ac:dyDescent="0.3">
      <c r="A181">
        <v>1180</v>
      </c>
      <c r="B181" t="s">
        <v>51</v>
      </c>
      <c r="C181" t="s">
        <v>17</v>
      </c>
      <c r="D181">
        <v>38</v>
      </c>
      <c r="E181" t="s">
        <v>18</v>
      </c>
      <c r="F181" t="s">
        <v>37</v>
      </c>
      <c r="G181">
        <v>35658</v>
      </c>
      <c r="H181" s="1">
        <v>44785</v>
      </c>
      <c r="I181" t="s">
        <v>15</v>
      </c>
      <c r="J181">
        <v>2</v>
      </c>
      <c r="K181">
        <v>4</v>
      </c>
    </row>
    <row r="182" spans="1:11" x14ac:dyDescent="0.3">
      <c r="A182">
        <v>1181</v>
      </c>
      <c r="B182" t="s">
        <v>28</v>
      </c>
      <c r="C182" t="s">
        <v>17</v>
      </c>
      <c r="D182">
        <v>30</v>
      </c>
      <c r="E182" t="s">
        <v>21</v>
      </c>
      <c r="F182" t="s">
        <v>32</v>
      </c>
      <c r="G182">
        <v>29461</v>
      </c>
      <c r="H182" s="1">
        <v>43200</v>
      </c>
      <c r="I182" t="s">
        <v>15</v>
      </c>
      <c r="J182">
        <v>7</v>
      </c>
      <c r="K182">
        <v>4</v>
      </c>
    </row>
    <row r="183" spans="1:11" x14ac:dyDescent="0.3">
      <c r="A183">
        <v>1182</v>
      </c>
      <c r="B183" t="s">
        <v>44</v>
      </c>
      <c r="C183" t="s">
        <v>12</v>
      </c>
      <c r="D183">
        <v>27</v>
      </c>
      <c r="E183" t="s">
        <v>34</v>
      </c>
      <c r="F183" t="s">
        <v>46</v>
      </c>
      <c r="G183">
        <v>74340</v>
      </c>
      <c r="H183" s="1">
        <v>44858</v>
      </c>
      <c r="I183" t="s">
        <v>15</v>
      </c>
      <c r="J183">
        <v>7</v>
      </c>
      <c r="K183">
        <v>4</v>
      </c>
    </row>
    <row r="184" spans="1:11" x14ac:dyDescent="0.3">
      <c r="A184">
        <v>1183</v>
      </c>
      <c r="B184" t="s">
        <v>49</v>
      </c>
      <c r="C184" t="s">
        <v>12</v>
      </c>
      <c r="D184">
        <v>26</v>
      </c>
      <c r="E184" t="s">
        <v>21</v>
      </c>
      <c r="F184" t="s">
        <v>22</v>
      </c>
      <c r="G184">
        <v>53553</v>
      </c>
      <c r="H184" s="1">
        <v>44123</v>
      </c>
      <c r="I184" t="s">
        <v>15</v>
      </c>
      <c r="J184">
        <v>2</v>
      </c>
      <c r="K184">
        <v>2</v>
      </c>
    </row>
    <row r="185" spans="1:11" x14ac:dyDescent="0.3">
      <c r="A185">
        <v>1184</v>
      </c>
      <c r="B185" t="s">
        <v>23</v>
      </c>
      <c r="C185" t="s">
        <v>17</v>
      </c>
      <c r="D185">
        <v>31</v>
      </c>
      <c r="E185" t="s">
        <v>21</v>
      </c>
      <c r="F185" t="s">
        <v>32</v>
      </c>
      <c r="G185">
        <v>61068</v>
      </c>
      <c r="H185" s="1">
        <v>45635</v>
      </c>
      <c r="I185" t="s">
        <v>15</v>
      </c>
      <c r="J185">
        <v>11</v>
      </c>
      <c r="K185">
        <v>4</v>
      </c>
    </row>
    <row r="186" spans="1:11" x14ac:dyDescent="0.3">
      <c r="A186">
        <v>1185</v>
      </c>
      <c r="B186" t="s">
        <v>48</v>
      </c>
      <c r="C186" t="s">
        <v>17</v>
      </c>
      <c r="D186">
        <v>43</v>
      </c>
      <c r="E186" t="s">
        <v>18</v>
      </c>
      <c r="F186" t="s">
        <v>27</v>
      </c>
      <c r="G186">
        <v>73896</v>
      </c>
      <c r="H186" s="1">
        <v>45471</v>
      </c>
      <c r="I186" t="s">
        <v>33</v>
      </c>
      <c r="J186">
        <v>5</v>
      </c>
      <c r="K186">
        <v>2</v>
      </c>
    </row>
    <row r="187" spans="1:11" x14ac:dyDescent="0.3">
      <c r="A187">
        <v>1186</v>
      </c>
      <c r="B187" t="s">
        <v>48</v>
      </c>
      <c r="C187" t="s">
        <v>17</v>
      </c>
      <c r="D187">
        <v>43</v>
      </c>
      <c r="E187" t="s">
        <v>21</v>
      </c>
      <c r="F187" t="s">
        <v>32</v>
      </c>
      <c r="G187">
        <v>66844</v>
      </c>
      <c r="H187" s="1">
        <v>43712</v>
      </c>
      <c r="I187" t="s">
        <v>15</v>
      </c>
      <c r="J187">
        <v>6</v>
      </c>
      <c r="K187">
        <v>4</v>
      </c>
    </row>
    <row r="188" spans="1:11" x14ac:dyDescent="0.3">
      <c r="A188">
        <v>1187</v>
      </c>
      <c r="B188" t="s">
        <v>48</v>
      </c>
      <c r="C188" t="s">
        <v>17</v>
      </c>
      <c r="D188">
        <v>25</v>
      </c>
      <c r="E188" t="s">
        <v>21</v>
      </c>
      <c r="F188" t="s">
        <v>32</v>
      </c>
      <c r="G188">
        <v>63403</v>
      </c>
      <c r="H188" s="1">
        <v>45540</v>
      </c>
      <c r="I188" t="s">
        <v>15</v>
      </c>
      <c r="J188">
        <v>3</v>
      </c>
      <c r="K188">
        <v>5</v>
      </c>
    </row>
    <row r="189" spans="1:11" x14ac:dyDescent="0.3">
      <c r="A189">
        <v>1188</v>
      </c>
      <c r="B189" t="s">
        <v>26</v>
      </c>
      <c r="C189" t="s">
        <v>12</v>
      </c>
      <c r="D189">
        <v>26</v>
      </c>
      <c r="E189" t="s">
        <v>21</v>
      </c>
      <c r="F189" t="s">
        <v>32</v>
      </c>
      <c r="G189">
        <v>72645</v>
      </c>
      <c r="H189" s="1">
        <v>43198</v>
      </c>
      <c r="I189" t="s">
        <v>15</v>
      </c>
      <c r="J189">
        <v>7</v>
      </c>
      <c r="K189">
        <v>3</v>
      </c>
    </row>
    <row r="190" spans="1:11" x14ac:dyDescent="0.3">
      <c r="A190">
        <v>1189</v>
      </c>
      <c r="B190" t="s">
        <v>28</v>
      </c>
      <c r="C190" t="s">
        <v>17</v>
      </c>
      <c r="D190">
        <v>40</v>
      </c>
      <c r="E190" t="s">
        <v>42</v>
      </c>
      <c r="F190" t="s">
        <v>43</v>
      </c>
      <c r="G190">
        <v>86887</v>
      </c>
      <c r="H190" s="1">
        <v>43900</v>
      </c>
      <c r="I190" t="s">
        <v>15</v>
      </c>
      <c r="J190">
        <v>12</v>
      </c>
      <c r="K190">
        <v>2</v>
      </c>
    </row>
    <row r="191" spans="1:11" x14ac:dyDescent="0.3">
      <c r="A191">
        <v>1190</v>
      </c>
      <c r="B191" t="s">
        <v>29</v>
      </c>
      <c r="C191" t="s">
        <v>12</v>
      </c>
      <c r="D191">
        <v>42</v>
      </c>
      <c r="E191" t="s">
        <v>21</v>
      </c>
      <c r="F191" t="s">
        <v>32</v>
      </c>
      <c r="G191">
        <v>79745</v>
      </c>
      <c r="H191" s="1">
        <v>45154</v>
      </c>
      <c r="I191" t="s">
        <v>15</v>
      </c>
      <c r="J191">
        <v>10</v>
      </c>
      <c r="K191">
        <v>4</v>
      </c>
    </row>
    <row r="192" spans="1:11" x14ac:dyDescent="0.3">
      <c r="A192">
        <v>1191</v>
      </c>
      <c r="B192" t="s">
        <v>28</v>
      </c>
      <c r="C192" t="s">
        <v>12</v>
      </c>
      <c r="D192">
        <v>23</v>
      </c>
      <c r="E192" t="s">
        <v>42</v>
      </c>
      <c r="F192" t="s">
        <v>47</v>
      </c>
      <c r="G192">
        <v>70168</v>
      </c>
      <c r="H192" s="1">
        <v>43814</v>
      </c>
      <c r="I192" t="s">
        <v>15</v>
      </c>
      <c r="J192">
        <v>5</v>
      </c>
      <c r="K192">
        <v>4</v>
      </c>
    </row>
    <row r="193" spans="1:11" x14ac:dyDescent="0.3">
      <c r="A193">
        <v>1192</v>
      </c>
      <c r="B193" t="s">
        <v>44</v>
      </c>
      <c r="C193" t="s">
        <v>17</v>
      </c>
      <c r="D193">
        <v>36</v>
      </c>
      <c r="E193" t="s">
        <v>24</v>
      </c>
      <c r="F193" t="s">
        <v>25</v>
      </c>
      <c r="G193">
        <v>64368</v>
      </c>
      <c r="H193" s="1">
        <v>43822</v>
      </c>
      <c r="I193" t="s">
        <v>15</v>
      </c>
      <c r="J193">
        <v>14</v>
      </c>
      <c r="K193">
        <v>3</v>
      </c>
    </row>
    <row r="194" spans="1:11" x14ac:dyDescent="0.3">
      <c r="A194">
        <v>1193</v>
      </c>
      <c r="B194" t="s">
        <v>41</v>
      </c>
      <c r="C194" t="s">
        <v>17</v>
      </c>
      <c r="D194">
        <v>37</v>
      </c>
      <c r="E194" t="s">
        <v>34</v>
      </c>
      <c r="F194" t="s">
        <v>46</v>
      </c>
      <c r="G194">
        <v>88866</v>
      </c>
      <c r="H194" s="1">
        <v>43754</v>
      </c>
      <c r="I194" t="s">
        <v>15</v>
      </c>
      <c r="J194">
        <v>7</v>
      </c>
      <c r="K194">
        <v>2</v>
      </c>
    </row>
    <row r="195" spans="1:11" x14ac:dyDescent="0.3">
      <c r="A195">
        <v>1194</v>
      </c>
      <c r="B195" t="s">
        <v>20</v>
      </c>
      <c r="C195" t="s">
        <v>12</v>
      </c>
      <c r="D195">
        <v>31</v>
      </c>
      <c r="E195" t="s">
        <v>42</v>
      </c>
      <c r="F195" t="s">
        <v>47</v>
      </c>
      <c r="G195">
        <v>82246</v>
      </c>
      <c r="H195" s="1">
        <v>43184</v>
      </c>
      <c r="I195" t="s">
        <v>33</v>
      </c>
      <c r="J195">
        <v>10</v>
      </c>
      <c r="K195">
        <v>3</v>
      </c>
    </row>
    <row r="196" spans="1:11" x14ac:dyDescent="0.3">
      <c r="A196">
        <v>1195</v>
      </c>
      <c r="B196" t="s">
        <v>48</v>
      </c>
      <c r="C196" t="s">
        <v>17</v>
      </c>
      <c r="D196">
        <v>39</v>
      </c>
      <c r="E196" t="s">
        <v>18</v>
      </c>
      <c r="F196" t="s">
        <v>27</v>
      </c>
      <c r="G196">
        <v>64814</v>
      </c>
      <c r="H196" s="1">
        <v>43446</v>
      </c>
      <c r="I196" t="s">
        <v>15</v>
      </c>
      <c r="J196">
        <v>1</v>
      </c>
      <c r="K196">
        <v>4</v>
      </c>
    </row>
    <row r="197" spans="1:11" x14ac:dyDescent="0.3">
      <c r="A197">
        <v>1196</v>
      </c>
      <c r="B197" t="s">
        <v>45</v>
      </c>
      <c r="C197" t="s">
        <v>12</v>
      </c>
      <c r="D197">
        <v>25</v>
      </c>
      <c r="E197" t="s">
        <v>21</v>
      </c>
      <c r="F197" t="s">
        <v>22</v>
      </c>
      <c r="G197">
        <v>30476</v>
      </c>
      <c r="H197" s="1">
        <v>44651</v>
      </c>
      <c r="I197" t="s">
        <v>15</v>
      </c>
      <c r="J197">
        <v>1</v>
      </c>
      <c r="K197">
        <v>2</v>
      </c>
    </row>
    <row r="198" spans="1:11" x14ac:dyDescent="0.3">
      <c r="A198">
        <v>1197</v>
      </c>
      <c r="B198" t="s">
        <v>29</v>
      </c>
      <c r="C198" t="s">
        <v>12</v>
      </c>
      <c r="D198">
        <v>44</v>
      </c>
      <c r="E198" t="s">
        <v>34</v>
      </c>
      <c r="F198" t="s">
        <v>46</v>
      </c>
      <c r="G198">
        <v>77797</v>
      </c>
      <c r="H198" s="1">
        <v>44331</v>
      </c>
      <c r="I198" t="s">
        <v>15</v>
      </c>
      <c r="J198">
        <v>3</v>
      </c>
      <c r="K198">
        <v>2</v>
      </c>
    </row>
    <row r="199" spans="1:11" x14ac:dyDescent="0.3">
      <c r="A199">
        <v>1198</v>
      </c>
      <c r="B199" t="s">
        <v>41</v>
      </c>
      <c r="C199" t="s">
        <v>12</v>
      </c>
      <c r="D199">
        <v>38</v>
      </c>
      <c r="E199" t="s">
        <v>24</v>
      </c>
      <c r="F199" t="s">
        <v>50</v>
      </c>
      <c r="G199">
        <v>70824</v>
      </c>
      <c r="H199" s="1">
        <v>45527</v>
      </c>
      <c r="I199" t="s">
        <v>15</v>
      </c>
      <c r="J199">
        <v>3</v>
      </c>
      <c r="K199">
        <v>2</v>
      </c>
    </row>
    <row r="200" spans="1:11" x14ac:dyDescent="0.3">
      <c r="A200">
        <v>1199</v>
      </c>
      <c r="B200" t="s">
        <v>48</v>
      </c>
      <c r="C200" t="s">
        <v>12</v>
      </c>
      <c r="D200">
        <v>24</v>
      </c>
      <c r="E200" t="s">
        <v>42</v>
      </c>
      <c r="F200" t="s">
        <v>43</v>
      </c>
      <c r="G200">
        <v>56967</v>
      </c>
      <c r="H200" s="1">
        <v>45313</v>
      </c>
      <c r="I200" t="s">
        <v>15</v>
      </c>
      <c r="J200">
        <v>8</v>
      </c>
      <c r="K200">
        <v>2</v>
      </c>
    </row>
    <row r="201" spans="1:11" x14ac:dyDescent="0.3">
      <c r="A201">
        <v>1200</v>
      </c>
      <c r="B201" t="s">
        <v>29</v>
      </c>
      <c r="C201" t="s">
        <v>17</v>
      </c>
      <c r="D201">
        <v>24</v>
      </c>
      <c r="E201" t="s">
        <v>18</v>
      </c>
      <c r="F201" t="s">
        <v>37</v>
      </c>
      <c r="G201">
        <v>46559</v>
      </c>
      <c r="H201" s="1">
        <v>44544</v>
      </c>
      <c r="I201" t="s">
        <v>15</v>
      </c>
      <c r="J201">
        <v>3</v>
      </c>
      <c r="K201">
        <v>3</v>
      </c>
    </row>
    <row r="202" spans="1:11" x14ac:dyDescent="0.3">
      <c r="H202"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98823-7529-42E0-9713-B727F05B6738}">
  <dimension ref="A1:B8"/>
  <sheetViews>
    <sheetView workbookViewId="0">
      <selection activeCell="B9" sqref="B9"/>
    </sheetView>
  </sheetViews>
  <sheetFormatPr defaultRowHeight="14.4" x14ac:dyDescent="0.3"/>
  <cols>
    <col min="1" max="2" width="28.21875" customWidth="1"/>
  </cols>
  <sheetData>
    <row r="1" spans="1:2" ht="17.399999999999999" x14ac:dyDescent="0.45">
      <c r="A1" s="3" t="s">
        <v>57</v>
      </c>
      <c r="B1" s="3" t="s">
        <v>56</v>
      </c>
    </row>
    <row r="2" spans="1:2" x14ac:dyDescent="0.3">
      <c r="A2">
        <f>COUNTA(Data_Set!B:B)-1</f>
        <v>200</v>
      </c>
      <c r="B2">
        <f>AVERAGE(Data_Set!G:G)-1</f>
        <v>57027.839999999997</v>
      </c>
    </row>
    <row r="4" spans="1:2" ht="17.399999999999999" x14ac:dyDescent="0.45">
      <c r="A4" s="3" t="s">
        <v>58</v>
      </c>
      <c r="B4" s="2" t="s">
        <v>55</v>
      </c>
    </row>
    <row r="5" spans="1:2" x14ac:dyDescent="0.3">
      <c r="A5">
        <f>SUM(Data_Set!D:D)-1</f>
        <v>6736</v>
      </c>
      <c r="B5">
        <f>COUNTIF(Data_Set!I:I,"yes")</f>
        <v>30</v>
      </c>
    </row>
    <row r="7" spans="1:2" ht="17.399999999999999" x14ac:dyDescent="0.45">
      <c r="A7" s="3" t="s">
        <v>60</v>
      </c>
      <c r="B7" s="3" t="s">
        <v>59</v>
      </c>
    </row>
    <row r="8" spans="1:2" x14ac:dyDescent="0.3">
      <c r="A8">
        <f>COUNTIF(Data_Set!C:C,"Male")</f>
        <v>91</v>
      </c>
      <c r="B8">
        <f>COUNTIF(Data_Set!C:C,"Female")</f>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00D08-5164-4509-808D-E53F6B676C65}">
  <dimension ref="A1:F216"/>
  <sheetViews>
    <sheetView workbookViewId="0">
      <selection activeCell="D18" sqref="D14:E216"/>
    </sheetView>
  </sheetViews>
  <sheetFormatPr defaultRowHeight="14.4" x14ac:dyDescent="0.3"/>
  <cols>
    <col min="1" max="1" width="12.44140625" bestFit="1" customWidth="1"/>
    <col min="2" max="3" width="13.44140625" bestFit="1" customWidth="1"/>
    <col min="4" max="4" width="12.44140625" bestFit="1" customWidth="1"/>
    <col min="5" max="5" width="13.44140625" bestFit="1" customWidth="1"/>
    <col min="6" max="7" width="10.5546875" bestFit="1" customWidth="1"/>
  </cols>
  <sheetData>
    <row r="1" spans="1:6" x14ac:dyDescent="0.3">
      <c r="A1" s="4" t="s">
        <v>61</v>
      </c>
      <c r="B1" t="s">
        <v>63</v>
      </c>
      <c r="C1" s="4" t="s">
        <v>63</v>
      </c>
      <c r="D1" s="4" t="s">
        <v>64</v>
      </c>
    </row>
    <row r="2" spans="1:6" x14ac:dyDescent="0.3">
      <c r="A2" s="5" t="s">
        <v>42</v>
      </c>
      <c r="B2" s="6">
        <v>33308</v>
      </c>
      <c r="C2" s="4" t="s">
        <v>61</v>
      </c>
      <c r="D2" t="s">
        <v>15</v>
      </c>
      <c r="E2" t="s">
        <v>33</v>
      </c>
      <c r="F2" t="s">
        <v>62</v>
      </c>
    </row>
    <row r="3" spans="1:6" x14ac:dyDescent="0.3">
      <c r="A3" s="5" t="s">
        <v>24</v>
      </c>
      <c r="B3" s="6">
        <v>27394</v>
      </c>
      <c r="C3" s="5" t="s">
        <v>42</v>
      </c>
      <c r="D3" s="6">
        <v>31091</v>
      </c>
      <c r="E3" s="6">
        <v>2217</v>
      </c>
      <c r="F3" s="6">
        <v>33308</v>
      </c>
    </row>
    <row r="4" spans="1:6" x14ac:dyDescent="0.3">
      <c r="A4" s="5" t="s">
        <v>18</v>
      </c>
      <c r="B4" s="6">
        <v>45977</v>
      </c>
      <c r="C4" s="5" t="s">
        <v>24</v>
      </c>
      <c r="D4" s="6">
        <v>21978</v>
      </c>
      <c r="E4" s="6">
        <v>5416</v>
      </c>
      <c r="F4" s="6">
        <v>27394</v>
      </c>
    </row>
    <row r="5" spans="1:6" x14ac:dyDescent="0.3">
      <c r="A5" s="5" t="s">
        <v>13</v>
      </c>
      <c r="B5" s="6">
        <v>23161</v>
      </c>
      <c r="C5" s="5" t="s">
        <v>18</v>
      </c>
      <c r="D5" s="6">
        <v>40578</v>
      </c>
      <c r="E5" s="6">
        <v>5399</v>
      </c>
      <c r="F5" s="6">
        <v>45977</v>
      </c>
    </row>
    <row r="6" spans="1:6" x14ac:dyDescent="0.3">
      <c r="A6" s="5" t="s">
        <v>34</v>
      </c>
      <c r="B6" s="6">
        <v>38871</v>
      </c>
      <c r="C6" s="5" t="s">
        <v>13</v>
      </c>
      <c r="D6" s="6">
        <v>18733</v>
      </c>
      <c r="E6" s="6">
        <v>4428</v>
      </c>
      <c r="F6" s="6">
        <v>23161</v>
      </c>
    </row>
    <row r="7" spans="1:6" x14ac:dyDescent="0.3">
      <c r="A7" s="5" t="s">
        <v>21</v>
      </c>
      <c r="B7" s="6">
        <v>51389</v>
      </c>
      <c r="C7" s="5" t="s">
        <v>34</v>
      </c>
      <c r="D7" s="6">
        <v>34589</v>
      </c>
      <c r="E7" s="6">
        <v>4282</v>
      </c>
      <c r="F7" s="6">
        <v>38871</v>
      </c>
    </row>
    <row r="8" spans="1:6" x14ac:dyDescent="0.3">
      <c r="A8" s="5" t="s">
        <v>62</v>
      </c>
      <c r="B8" s="6">
        <v>220100</v>
      </c>
      <c r="C8" s="5" t="s">
        <v>21</v>
      </c>
      <c r="D8" s="6">
        <v>40743</v>
      </c>
      <c r="E8" s="6">
        <v>10646</v>
      </c>
      <c r="F8" s="6">
        <v>51389</v>
      </c>
    </row>
    <row r="9" spans="1:6" x14ac:dyDescent="0.3">
      <c r="C9" s="5" t="s">
        <v>62</v>
      </c>
      <c r="D9" s="6">
        <v>187712</v>
      </c>
      <c r="E9" s="6">
        <v>32388</v>
      </c>
      <c r="F9" s="6">
        <v>220100</v>
      </c>
    </row>
    <row r="14" spans="1:6" x14ac:dyDescent="0.3">
      <c r="A14" t="s">
        <v>65</v>
      </c>
      <c r="D14" t="s">
        <v>73</v>
      </c>
    </row>
    <row r="15" spans="1:6" x14ac:dyDescent="0.3">
      <c r="A15" s="4" t="s">
        <v>61</v>
      </c>
      <c r="B15" t="s">
        <v>63</v>
      </c>
      <c r="D15" s="4" t="s">
        <v>61</v>
      </c>
      <c r="E15" t="s">
        <v>63</v>
      </c>
    </row>
    <row r="16" spans="1:6" x14ac:dyDescent="0.3">
      <c r="A16" s="5" t="s">
        <v>66</v>
      </c>
      <c r="B16" s="6">
        <v>41822</v>
      </c>
      <c r="D16" s="5">
        <v>25013</v>
      </c>
      <c r="E16" s="6">
        <v>1158</v>
      </c>
    </row>
    <row r="17" spans="1:5" x14ac:dyDescent="0.3">
      <c r="A17" s="5" t="s">
        <v>67</v>
      </c>
      <c r="B17" s="6">
        <v>40551</v>
      </c>
      <c r="D17" s="5">
        <v>25670</v>
      </c>
      <c r="E17" s="6">
        <v>1083</v>
      </c>
    </row>
    <row r="18" spans="1:5" x14ac:dyDescent="0.3">
      <c r="A18" s="5" t="s">
        <v>68</v>
      </c>
      <c r="B18" s="6">
        <v>23488</v>
      </c>
      <c r="D18" s="5">
        <v>26740</v>
      </c>
      <c r="E18" s="6">
        <v>1029</v>
      </c>
    </row>
    <row r="19" spans="1:5" x14ac:dyDescent="0.3">
      <c r="A19" s="5" t="s">
        <v>69</v>
      </c>
      <c r="B19" s="6">
        <v>29292</v>
      </c>
      <c r="D19" s="5">
        <v>26896</v>
      </c>
      <c r="E19" s="6">
        <v>1179</v>
      </c>
    </row>
    <row r="20" spans="1:5" x14ac:dyDescent="0.3">
      <c r="A20" s="5" t="s">
        <v>70</v>
      </c>
      <c r="B20" s="6">
        <v>25568</v>
      </c>
      <c r="D20" s="5">
        <v>27081</v>
      </c>
      <c r="E20" s="6">
        <v>1018</v>
      </c>
    </row>
    <row r="21" spans="1:5" x14ac:dyDescent="0.3">
      <c r="A21" s="5" t="s">
        <v>71</v>
      </c>
      <c r="B21" s="6">
        <v>28458</v>
      </c>
      <c r="D21" s="5">
        <v>27261</v>
      </c>
      <c r="E21" s="6">
        <v>1121</v>
      </c>
    </row>
    <row r="22" spans="1:5" x14ac:dyDescent="0.3">
      <c r="A22" s="5" t="s">
        <v>72</v>
      </c>
      <c r="B22" s="6">
        <v>30921</v>
      </c>
      <c r="D22" s="5">
        <v>27433</v>
      </c>
      <c r="E22" s="6">
        <v>1068</v>
      </c>
    </row>
    <row r="23" spans="1:5" x14ac:dyDescent="0.3">
      <c r="A23" s="5" t="s">
        <v>62</v>
      </c>
      <c r="B23" s="6">
        <v>220100</v>
      </c>
      <c r="D23" s="5">
        <v>27643</v>
      </c>
      <c r="E23" s="6">
        <v>1155</v>
      </c>
    </row>
    <row r="24" spans="1:5" x14ac:dyDescent="0.3">
      <c r="D24" s="5">
        <v>28940</v>
      </c>
      <c r="E24" s="6">
        <v>1125</v>
      </c>
    </row>
    <row r="25" spans="1:5" x14ac:dyDescent="0.3">
      <c r="D25" s="5">
        <v>29141</v>
      </c>
      <c r="E25" s="6">
        <v>1159</v>
      </c>
    </row>
    <row r="26" spans="1:5" x14ac:dyDescent="0.3">
      <c r="D26" s="5">
        <v>29326</v>
      </c>
      <c r="E26" s="6">
        <v>1098</v>
      </c>
    </row>
    <row r="27" spans="1:5" x14ac:dyDescent="0.3">
      <c r="D27" s="5">
        <v>29461</v>
      </c>
      <c r="E27" s="6">
        <v>1181</v>
      </c>
    </row>
    <row r="28" spans="1:5" x14ac:dyDescent="0.3">
      <c r="D28" s="5">
        <v>29761</v>
      </c>
      <c r="E28" s="6">
        <v>1176</v>
      </c>
    </row>
    <row r="29" spans="1:5" x14ac:dyDescent="0.3">
      <c r="D29" s="5">
        <v>30240</v>
      </c>
      <c r="E29" s="6">
        <v>1172</v>
      </c>
    </row>
    <row r="30" spans="1:5" x14ac:dyDescent="0.3">
      <c r="D30" s="5">
        <v>30419</v>
      </c>
      <c r="E30" s="6">
        <v>1131</v>
      </c>
    </row>
    <row r="31" spans="1:5" x14ac:dyDescent="0.3">
      <c r="D31" s="5">
        <v>30436</v>
      </c>
      <c r="E31" s="6">
        <v>1056</v>
      </c>
    </row>
    <row r="32" spans="1:5" x14ac:dyDescent="0.3">
      <c r="D32" s="5">
        <v>30476</v>
      </c>
      <c r="E32" s="6">
        <v>1196</v>
      </c>
    </row>
    <row r="33" spans="4:5" x14ac:dyDescent="0.3">
      <c r="D33" s="5">
        <v>30865</v>
      </c>
      <c r="E33" s="6">
        <v>1003</v>
      </c>
    </row>
    <row r="34" spans="4:5" x14ac:dyDescent="0.3">
      <c r="D34" s="5">
        <v>31219</v>
      </c>
      <c r="E34" s="6">
        <v>1057</v>
      </c>
    </row>
    <row r="35" spans="4:5" x14ac:dyDescent="0.3">
      <c r="D35" s="5">
        <v>31738</v>
      </c>
      <c r="E35" s="6">
        <v>1008</v>
      </c>
    </row>
    <row r="36" spans="4:5" x14ac:dyDescent="0.3">
      <c r="D36" s="5">
        <v>32093</v>
      </c>
      <c r="E36" s="6">
        <v>1030</v>
      </c>
    </row>
    <row r="37" spans="4:5" x14ac:dyDescent="0.3">
      <c r="D37" s="5">
        <v>32191</v>
      </c>
      <c r="E37" s="6">
        <v>1005</v>
      </c>
    </row>
    <row r="38" spans="4:5" x14ac:dyDescent="0.3">
      <c r="D38" s="5">
        <v>32417</v>
      </c>
      <c r="E38" s="6">
        <v>1160</v>
      </c>
    </row>
    <row r="39" spans="4:5" x14ac:dyDescent="0.3">
      <c r="D39" s="5">
        <v>32693</v>
      </c>
      <c r="E39" s="6">
        <v>1111</v>
      </c>
    </row>
    <row r="40" spans="4:5" x14ac:dyDescent="0.3">
      <c r="D40" s="5">
        <v>32757</v>
      </c>
      <c r="E40" s="6">
        <v>1129</v>
      </c>
    </row>
    <row r="41" spans="4:5" x14ac:dyDescent="0.3">
      <c r="D41" s="5">
        <v>32858</v>
      </c>
      <c r="E41" s="6">
        <v>1074</v>
      </c>
    </row>
    <row r="42" spans="4:5" x14ac:dyDescent="0.3">
      <c r="D42" s="5">
        <v>32866</v>
      </c>
      <c r="E42" s="6">
        <v>1077</v>
      </c>
    </row>
    <row r="43" spans="4:5" x14ac:dyDescent="0.3">
      <c r="D43" s="5">
        <v>33439</v>
      </c>
      <c r="E43" s="6">
        <v>1127</v>
      </c>
    </row>
    <row r="44" spans="4:5" x14ac:dyDescent="0.3">
      <c r="D44" s="5">
        <v>33472</v>
      </c>
      <c r="E44" s="6">
        <v>1066</v>
      </c>
    </row>
    <row r="45" spans="4:5" x14ac:dyDescent="0.3">
      <c r="D45" s="5">
        <v>33515</v>
      </c>
      <c r="E45" s="6">
        <v>1042</v>
      </c>
    </row>
    <row r="46" spans="4:5" x14ac:dyDescent="0.3">
      <c r="D46" s="5">
        <v>33772</v>
      </c>
      <c r="E46" s="6">
        <v>1175</v>
      </c>
    </row>
    <row r="47" spans="4:5" x14ac:dyDescent="0.3">
      <c r="D47" s="5">
        <v>33950</v>
      </c>
      <c r="E47" s="6">
        <v>1174</v>
      </c>
    </row>
    <row r="48" spans="4:5" x14ac:dyDescent="0.3">
      <c r="D48" s="5">
        <v>34010</v>
      </c>
      <c r="E48" s="6">
        <v>1096</v>
      </c>
    </row>
    <row r="49" spans="4:5" x14ac:dyDescent="0.3">
      <c r="D49" s="5">
        <v>34876</v>
      </c>
      <c r="E49" s="6">
        <v>1164</v>
      </c>
    </row>
    <row r="50" spans="4:5" x14ac:dyDescent="0.3">
      <c r="D50" s="5">
        <v>35237</v>
      </c>
      <c r="E50" s="6">
        <v>1103</v>
      </c>
    </row>
    <row r="51" spans="4:5" x14ac:dyDescent="0.3">
      <c r="D51" s="5">
        <v>35284</v>
      </c>
      <c r="E51" s="6">
        <v>1173</v>
      </c>
    </row>
    <row r="52" spans="4:5" x14ac:dyDescent="0.3">
      <c r="D52" s="5">
        <v>35658</v>
      </c>
      <c r="E52" s="6">
        <v>1180</v>
      </c>
    </row>
    <row r="53" spans="4:5" x14ac:dyDescent="0.3">
      <c r="D53" s="5">
        <v>36228</v>
      </c>
      <c r="E53" s="6">
        <v>1072</v>
      </c>
    </row>
    <row r="54" spans="4:5" x14ac:dyDescent="0.3">
      <c r="D54" s="5">
        <v>36544</v>
      </c>
      <c r="E54" s="6">
        <v>1152</v>
      </c>
    </row>
    <row r="55" spans="4:5" x14ac:dyDescent="0.3">
      <c r="D55" s="5">
        <v>36684</v>
      </c>
      <c r="E55" s="6">
        <v>1060</v>
      </c>
    </row>
    <row r="56" spans="4:5" x14ac:dyDescent="0.3">
      <c r="D56" s="5">
        <v>36804</v>
      </c>
      <c r="E56" s="6">
        <v>1037</v>
      </c>
    </row>
    <row r="57" spans="4:5" x14ac:dyDescent="0.3">
      <c r="D57" s="5">
        <v>36944</v>
      </c>
      <c r="E57" s="6">
        <v>1115</v>
      </c>
    </row>
    <row r="58" spans="4:5" x14ac:dyDescent="0.3">
      <c r="D58" s="5">
        <v>37260</v>
      </c>
      <c r="E58" s="6">
        <v>1036</v>
      </c>
    </row>
    <row r="59" spans="4:5" x14ac:dyDescent="0.3">
      <c r="D59" s="5">
        <v>38022</v>
      </c>
      <c r="E59" s="6">
        <v>1137</v>
      </c>
    </row>
    <row r="60" spans="4:5" x14ac:dyDescent="0.3">
      <c r="D60" s="5">
        <v>38173</v>
      </c>
      <c r="E60" s="6">
        <v>1133</v>
      </c>
    </row>
    <row r="61" spans="4:5" x14ac:dyDescent="0.3">
      <c r="D61" s="5">
        <v>38668</v>
      </c>
      <c r="E61" s="6">
        <v>1051</v>
      </c>
    </row>
    <row r="62" spans="4:5" x14ac:dyDescent="0.3">
      <c r="D62" s="5">
        <v>39045</v>
      </c>
      <c r="E62" s="6">
        <v>1167</v>
      </c>
    </row>
    <row r="63" spans="4:5" x14ac:dyDescent="0.3">
      <c r="D63" s="5">
        <v>39140</v>
      </c>
      <c r="E63" s="6">
        <v>1147</v>
      </c>
    </row>
    <row r="64" spans="4:5" x14ac:dyDescent="0.3">
      <c r="D64" s="5">
        <v>40104</v>
      </c>
      <c r="E64" s="6">
        <v>1007</v>
      </c>
    </row>
    <row r="65" spans="4:5" x14ac:dyDescent="0.3">
      <c r="D65" s="5">
        <v>41173</v>
      </c>
      <c r="E65" s="6">
        <v>1086</v>
      </c>
    </row>
    <row r="66" spans="4:5" x14ac:dyDescent="0.3">
      <c r="D66" s="5">
        <v>41379</v>
      </c>
      <c r="E66" s="6">
        <v>1053</v>
      </c>
    </row>
    <row r="67" spans="4:5" x14ac:dyDescent="0.3">
      <c r="D67" s="5">
        <v>41655</v>
      </c>
      <c r="E67" s="6">
        <v>1161</v>
      </c>
    </row>
    <row r="68" spans="4:5" x14ac:dyDescent="0.3">
      <c r="D68" s="5">
        <v>42722</v>
      </c>
      <c r="E68" s="6">
        <v>1071</v>
      </c>
    </row>
    <row r="69" spans="4:5" x14ac:dyDescent="0.3">
      <c r="D69" s="5">
        <v>42955</v>
      </c>
      <c r="E69" s="6">
        <v>1012</v>
      </c>
    </row>
    <row r="70" spans="4:5" x14ac:dyDescent="0.3">
      <c r="D70" s="5">
        <v>43193</v>
      </c>
      <c r="E70" s="6">
        <v>1041</v>
      </c>
    </row>
    <row r="71" spans="4:5" x14ac:dyDescent="0.3">
      <c r="D71" s="5">
        <v>43332</v>
      </c>
      <c r="E71" s="6">
        <v>1019</v>
      </c>
    </row>
    <row r="72" spans="4:5" x14ac:dyDescent="0.3">
      <c r="D72" s="5">
        <v>43355</v>
      </c>
      <c r="E72" s="6">
        <v>1118</v>
      </c>
    </row>
    <row r="73" spans="4:5" x14ac:dyDescent="0.3">
      <c r="D73" s="5">
        <v>43581</v>
      </c>
      <c r="E73" s="6">
        <v>1016</v>
      </c>
    </row>
    <row r="74" spans="4:5" x14ac:dyDescent="0.3">
      <c r="D74" s="5">
        <v>43625</v>
      </c>
      <c r="E74" s="6">
        <v>1055</v>
      </c>
    </row>
    <row r="75" spans="4:5" x14ac:dyDescent="0.3">
      <c r="D75" s="5">
        <v>43678</v>
      </c>
      <c r="E75" s="6">
        <v>1123</v>
      </c>
    </row>
    <row r="76" spans="4:5" x14ac:dyDescent="0.3">
      <c r="D76" s="5">
        <v>43866</v>
      </c>
      <c r="E76" s="6">
        <v>1151</v>
      </c>
    </row>
    <row r="77" spans="4:5" x14ac:dyDescent="0.3">
      <c r="D77" s="5">
        <v>43981</v>
      </c>
      <c r="E77" s="6">
        <v>1032</v>
      </c>
    </row>
    <row r="78" spans="4:5" x14ac:dyDescent="0.3">
      <c r="D78" s="5">
        <v>44322</v>
      </c>
      <c r="E78" s="6">
        <v>1148</v>
      </c>
    </row>
    <row r="79" spans="4:5" x14ac:dyDescent="0.3">
      <c r="D79" s="5">
        <v>44643</v>
      </c>
      <c r="E79" s="6">
        <v>1110</v>
      </c>
    </row>
    <row r="80" spans="4:5" x14ac:dyDescent="0.3">
      <c r="D80" s="5">
        <v>45836</v>
      </c>
      <c r="E80" s="6">
        <v>1033</v>
      </c>
    </row>
    <row r="81" spans="4:5" x14ac:dyDescent="0.3">
      <c r="D81" s="5">
        <v>46505</v>
      </c>
      <c r="E81" s="6">
        <v>1145</v>
      </c>
    </row>
    <row r="82" spans="4:5" x14ac:dyDescent="0.3">
      <c r="D82" s="5">
        <v>46559</v>
      </c>
      <c r="E82" s="6">
        <v>1200</v>
      </c>
    </row>
    <row r="83" spans="4:5" x14ac:dyDescent="0.3">
      <c r="D83" s="5">
        <v>46815</v>
      </c>
      <c r="E83" s="6">
        <v>1149</v>
      </c>
    </row>
    <row r="84" spans="4:5" x14ac:dyDescent="0.3">
      <c r="D84" s="5">
        <v>46864</v>
      </c>
      <c r="E84" s="6">
        <v>1134</v>
      </c>
    </row>
    <row r="85" spans="4:5" x14ac:dyDescent="0.3">
      <c r="D85" s="5">
        <v>46977</v>
      </c>
      <c r="E85" s="6">
        <v>1011</v>
      </c>
    </row>
    <row r="86" spans="4:5" x14ac:dyDescent="0.3">
      <c r="D86" s="5">
        <v>47337</v>
      </c>
      <c r="E86" s="6">
        <v>1047</v>
      </c>
    </row>
    <row r="87" spans="4:5" x14ac:dyDescent="0.3">
      <c r="D87" s="5">
        <v>47355</v>
      </c>
      <c r="E87" s="6">
        <v>1146</v>
      </c>
    </row>
    <row r="88" spans="4:5" x14ac:dyDescent="0.3">
      <c r="D88" s="5">
        <v>47490</v>
      </c>
      <c r="E88" s="6">
        <v>1006</v>
      </c>
    </row>
    <row r="89" spans="4:5" x14ac:dyDescent="0.3">
      <c r="D89" s="5">
        <v>47502</v>
      </c>
      <c r="E89" s="6">
        <v>1079</v>
      </c>
    </row>
    <row r="90" spans="4:5" x14ac:dyDescent="0.3">
      <c r="D90" s="5">
        <v>48776</v>
      </c>
      <c r="E90" s="6">
        <v>1095</v>
      </c>
    </row>
    <row r="91" spans="4:5" x14ac:dyDescent="0.3">
      <c r="D91" s="5">
        <v>49132</v>
      </c>
      <c r="E91" s="6">
        <v>1014</v>
      </c>
    </row>
    <row r="92" spans="4:5" x14ac:dyDescent="0.3">
      <c r="D92" s="5">
        <v>49860</v>
      </c>
      <c r="E92" s="6">
        <v>1142</v>
      </c>
    </row>
    <row r="93" spans="4:5" x14ac:dyDescent="0.3">
      <c r="D93" s="5">
        <v>50603</v>
      </c>
      <c r="E93" s="6">
        <v>1128</v>
      </c>
    </row>
    <row r="94" spans="4:5" x14ac:dyDescent="0.3">
      <c r="D94" s="5">
        <v>50725</v>
      </c>
      <c r="E94" s="6">
        <v>1090</v>
      </c>
    </row>
    <row r="95" spans="4:5" x14ac:dyDescent="0.3">
      <c r="D95" s="5">
        <v>50795</v>
      </c>
      <c r="E95" s="6">
        <v>1075</v>
      </c>
    </row>
    <row r="96" spans="4:5" x14ac:dyDescent="0.3">
      <c r="D96" s="5">
        <v>50995</v>
      </c>
      <c r="E96" s="6">
        <v>1021</v>
      </c>
    </row>
    <row r="97" spans="4:5" x14ac:dyDescent="0.3">
      <c r="D97" s="5">
        <v>51193</v>
      </c>
      <c r="E97" s="6">
        <v>1020</v>
      </c>
    </row>
    <row r="98" spans="4:5" x14ac:dyDescent="0.3">
      <c r="D98" s="5">
        <v>52800</v>
      </c>
      <c r="E98" s="6">
        <v>1154</v>
      </c>
    </row>
    <row r="99" spans="4:5" x14ac:dyDescent="0.3">
      <c r="D99" s="5">
        <v>53245</v>
      </c>
      <c r="E99" s="6">
        <v>1153</v>
      </c>
    </row>
    <row r="100" spans="4:5" x14ac:dyDescent="0.3">
      <c r="D100" s="5">
        <v>53553</v>
      </c>
      <c r="E100" s="6">
        <v>1183</v>
      </c>
    </row>
    <row r="101" spans="4:5" x14ac:dyDescent="0.3">
      <c r="D101" s="5">
        <v>53748</v>
      </c>
      <c r="E101" s="6">
        <v>1064</v>
      </c>
    </row>
    <row r="102" spans="4:5" x14ac:dyDescent="0.3">
      <c r="D102" s="5">
        <v>53844</v>
      </c>
      <c r="E102" s="6">
        <v>1046</v>
      </c>
    </row>
    <row r="103" spans="4:5" x14ac:dyDescent="0.3">
      <c r="D103" s="5">
        <v>54027</v>
      </c>
      <c r="E103" s="6">
        <v>1157</v>
      </c>
    </row>
    <row r="104" spans="4:5" x14ac:dyDescent="0.3">
      <c r="D104" s="5">
        <v>54668</v>
      </c>
      <c r="E104" s="6">
        <v>1088</v>
      </c>
    </row>
    <row r="105" spans="4:5" x14ac:dyDescent="0.3">
      <c r="D105" s="5">
        <v>55846</v>
      </c>
      <c r="E105" s="6">
        <v>1009</v>
      </c>
    </row>
    <row r="106" spans="4:5" x14ac:dyDescent="0.3">
      <c r="D106" s="5">
        <v>56069</v>
      </c>
      <c r="E106" s="6">
        <v>1069</v>
      </c>
    </row>
    <row r="107" spans="4:5" x14ac:dyDescent="0.3">
      <c r="D107" s="5">
        <v>56195</v>
      </c>
      <c r="E107" s="6">
        <v>1038</v>
      </c>
    </row>
    <row r="108" spans="4:5" x14ac:dyDescent="0.3">
      <c r="D108" s="5">
        <v>56328</v>
      </c>
      <c r="E108" s="6">
        <v>1050</v>
      </c>
    </row>
    <row r="109" spans="4:5" x14ac:dyDescent="0.3">
      <c r="D109" s="5">
        <v>56329</v>
      </c>
      <c r="E109" s="6">
        <v>1067</v>
      </c>
    </row>
    <row r="110" spans="4:5" x14ac:dyDescent="0.3">
      <c r="D110" s="5">
        <v>56371</v>
      </c>
      <c r="E110" s="6">
        <v>1024</v>
      </c>
    </row>
    <row r="111" spans="4:5" x14ac:dyDescent="0.3">
      <c r="D111" s="5">
        <v>56410</v>
      </c>
      <c r="E111" s="6">
        <v>1004</v>
      </c>
    </row>
    <row r="112" spans="4:5" x14ac:dyDescent="0.3">
      <c r="D112" s="5">
        <v>56578</v>
      </c>
      <c r="E112" s="6">
        <v>1049</v>
      </c>
    </row>
    <row r="113" spans="4:5" x14ac:dyDescent="0.3">
      <c r="D113" s="5">
        <v>56967</v>
      </c>
      <c r="E113" s="6">
        <v>1199</v>
      </c>
    </row>
    <row r="114" spans="4:5" x14ac:dyDescent="0.3">
      <c r="D114" s="5">
        <v>57280</v>
      </c>
      <c r="E114" s="6">
        <v>1132</v>
      </c>
    </row>
    <row r="115" spans="4:5" x14ac:dyDescent="0.3">
      <c r="D115" s="5">
        <v>58086</v>
      </c>
      <c r="E115" s="6">
        <v>1035</v>
      </c>
    </row>
    <row r="116" spans="4:5" x14ac:dyDescent="0.3">
      <c r="D116" s="5">
        <v>58136</v>
      </c>
      <c r="E116" s="6">
        <v>1136</v>
      </c>
    </row>
    <row r="117" spans="4:5" x14ac:dyDescent="0.3">
      <c r="D117" s="5">
        <v>59051</v>
      </c>
      <c r="E117" s="6">
        <v>1099</v>
      </c>
    </row>
    <row r="118" spans="4:5" x14ac:dyDescent="0.3">
      <c r="D118" s="5">
        <v>59537</v>
      </c>
      <c r="E118" s="6">
        <v>1045</v>
      </c>
    </row>
    <row r="119" spans="4:5" x14ac:dyDescent="0.3">
      <c r="D119" s="5">
        <v>59930</v>
      </c>
      <c r="E119" s="6">
        <v>1073</v>
      </c>
    </row>
    <row r="120" spans="4:5" x14ac:dyDescent="0.3">
      <c r="D120" s="5">
        <v>60206</v>
      </c>
      <c r="E120" s="6">
        <v>1023</v>
      </c>
    </row>
    <row r="121" spans="4:5" x14ac:dyDescent="0.3">
      <c r="D121" s="5">
        <v>60533</v>
      </c>
      <c r="E121" s="6">
        <v>1065</v>
      </c>
    </row>
    <row r="122" spans="4:5" x14ac:dyDescent="0.3">
      <c r="D122" s="5">
        <v>60894</v>
      </c>
      <c r="E122" s="6">
        <v>1178</v>
      </c>
    </row>
    <row r="123" spans="4:5" x14ac:dyDescent="0.3">
      <c r="D123" s="5">
        <v>60918</v>
      </c>
      <c r="E123" s="6">
        <v>1139</v>
      </c>
    </row>
    <row r="124" spans="4:5" x14ac:dyDescent="0.3">
      <c r="D124" s="5">
        <v>61068</v>
      </c>
      <c r="E124" s="6">
        <v>1184</v>
      </c>
    </row>
    <row r="125" spans="4:5" x14ac:dyDescent="0.3">
      <c r="D125" s="5">
        <v>62171</v>
      </c>
      <c r="E125" s="6">
        <v>1112</v>
      </c>
    </row>
    <row r="126" spans="4:5" x14ac:dyDescent="0.3">
      <c r="D126" s="5">
        <v>62177</v>
      </c>
      <c r="E126" s="6">
        <v>1101</v>
      </c>
    </row>
    <row r="127" spans="4:5" x14ac:dyDescent="0.3">
      <c r="D127" s="5">
        <v>62260</v>
      </c>
      <c r="E127" s="6">
        <v>1170</v>
      </c>
    </row>
    <row r="128" spans="4:5" x14ac:dyDescent="0.3">
      <c r="D128" s="5">
        <v>62309</v>
      </c>
      <c r="E128" s="6">
        <v>1081</v>
      </c>
    </row>
    <row r="129" spans="4:5" x14ac:dyDescent="0.3">
      <c r="D129" s="5">
        <v>62509</v>
      </c>
      <c r="E129" s="6">
        <v>1100</v>
      </c>
    </row>
    <row r="130" spans="4:5" x14ac:dyDescent="0.3">
      <c r="D130" s="5">
        <v>62976</v>
      </c>
      <c r="E130" s="6">
        <v>1113</v>
      </c>
    </row>
    <row r="131" spans="4:5" x14ac:dyDescent="0.3">
      <c r="D131" s="5">
        <v>63073</v>
      </c>
      <c r="E131" s="6">
        <v>1120</v>
      </c>
    </row>
    <row r="132" spans="4:5" x14ac:dyDescent="0.3">
      <c r="D132" s="5">
        <v>63230</v>
      </c>
      <c r="E132" s="6">
        <v>1109</v>
      </c>
    </row>
    <row r="133" spans="4:5" x14ac:dyDescent="0.3">
      <c r="D133" s="5">
        <v>63403</v>
      </c>
      <c r="E133" s="6">
        <v>1187</v>
      </c>
    </row>
    <row r="134" spans="4:5" x14ac:dyDescent="0.3">
      <c r="D134" s="5">
        <v>64078</v>
      </c>
      <c r="E134" s="6">
        <v>1091</v>
      </c>
    </row>
    <row r="135" spans="4:5" x14ac:dyDescent="0.3">
      <c r="D135" s="5">
        <v>64129</v>
      </c>
      <c r="E135" s="6">
        <v>1048</v>
      </c>
    </row>
    <row r="136" spans="4:5" x14ac:dyDescent="0.3">
      <c r="D136" s="5">
        <v>64368</v>
      </c>
      <c r="E136" s="6">
        <v>1192</v>
      </c>
    </row>
    <row r="137" spans="4:5" x14ac:dyDescent="0.3">
      <c r="D137" s="5">
        <v>64388</v>
      </c>
      <c r="E137" s="6">
        <v>1001</v>
      </c>
    </row>
    <row r="138" spans="4:5" x14ac:dyDescent="0.3">
      <c r="D138" s="5">
        <v>64777</v>
      </c>
      <c r="E138" s="6">
        <v>1044</v>
      </c>
    </row>
    <row r="139" spans="4:5" x14ac:dyDescent="0.3">
      <c r="D139" s="5">
        <v>64814</v>
      </c>
      <c r="E139" s="6">
        <v>1195</v>
      </c>
    </row>
    <row r="140" spans="4:5" x14ac:dyDescent="0.3">
      <c r="D140" s="5">
        <v>65378</v>
      </c>
      <c r="E140" s="6">
        <v>1040</v>
      </c>
    </row>
    <row r="141" spans="4:5" x14ac:dyDescent="0.3">
      <c r="D141" s="5">
        <v>65382</v>
      </c>
      <c r="E141" s="6">
        <v>1119</v>
      </c>
    </row>
    <row r="142" spans="4:5" x14ac:dyDescent="0.3">
      <c r="D142" s="5">
        <v>65395</v>
      </c>
      <c r="E142" s="6">
        <v>1105</v>
      </c>
    </row>
    <row r="143" spans="4:5" x14ac:dyDescent="0.3">
      <c r="D143" s="5">
        <v>65501</v>
      </c>
      <c r="E143" s="6">
        <v>1102</v>
      </c>
    </row>
    <row r="144" spans="4:5" x14ac:dyDescent="0.3">
      <c r="D144" s="5">
        <v>65770</v>
      </c>
      <c r="E144" s="6">
        <v>1124</v>
      </c>
    </row>
    <row r="145" spans="4:5" x14ac:dyDescent="0.3">
      <c r="D145" s="5">
        <v>65959</v>
      </c>
      <c r="E145" s="6">
        <v>1084</v>
      </c>
    </row>
    <row r="146" spans="4:5" x14ac:dyDescent="0.3">
      <c r="D146" s="5">
        <v>66174</v>
      </c>
      <c r="E146" s="6">
        <v>1027</v>
      </c>
    </row>
    <row r="147" spans="4:5" x14ac:dyDescent="0.3">
      <c r="D147" s="5">
        <v>66408</v>
      </c>
      <c r="E147" s="6">
        <v>1168</v>
      </c>
    </row>
    <row r="148" spans="4:5" x14ac:dyDescent="0.3">
      <c r="D148" s="5">
        <v>66554</v>
      </c>
      <c r="E148" s="6">
        <v>1059</v>
      </c>
    </row>
    <row r="149" spans="4:5" x14ac:dyDescent="0.3">
      <c r="D149" s="5">
        <v>66844</v>
      </c>
      <c r="E149" s="6">
        <v>1186</v>
      </c>
    </row>
    <row r="150" spans="4:5" x14ac:dyDescent="0.3">
      <c r="D150" s="5">
        <v>67100</v>
      </c>
      <c r="E150" s="6">
        <v>1106</v>
      </c>
    </row>
    <row r="151" spans="4:5" x14ac:dyDescent="0.3">
      <c r="D151" s="5">
        <v>67240</v>
      </c>
      <c r="E151" s="6">
        <v>1043</v>
      </c>
    </row>
    <row r="152" spans="4:5" x14ac:dyDescent="0.3">
      <c r="D152" s="5">
        <v>68046</v>
      </c>
      <c r="E152" s="6">
        <v>1122</v>
      </c>
    </row>
    <row r="153" spans="4:5" x14ac:dyDescent="0.3">
      <c r="D153" s="5">
        <v>68069</v>
      </c>
      <c r="E153" s="6">
        <v>1085</v>
      </c>
    </row>
    <row r="154" spans="4:5" x14ac:dyDescent="0.3">
      <c r="D154" s="5">
        <v>68144</v>
      </c>
      <c r="E154" s="6">
        <v>1097</v>
      </c>
    </row>
    <row r="155" spans="4:5" x14ac:dyDescent="0.3">
      <c r="D155" s="5">
        <v>68163</v>
      </c>
      <c r="E155" s="6">
        <v>1031</v>
      </c>
    </row>
    <row r="156" spans="4:5" x14ac:dyDescent="0.3">
      <c r="D156" s="5">
        <v>68655</v>
      </c>
      <c r="E156" s="6">
        <v>1063</v>
      </c>
    </row>
    <row r="157" spans="4:5" x14ac:dyDescent="0.3">
      <c r="D157" s="5">
        <v>69744</v>
      </c>
      <c r="E157" s="6">
        <v>1169</v>
      </c>
    </row>
    <row r="158" spans="4:5" x14ac:dyDescent="0.3">
      <c r="D158" s="5">
        <v>70043</v>
      </c>
      <c r="E158" s="6">
        <v>1034</v>
      </c>
    </row>
    <row r="159" spans="4:5" x14ac:dyDescent="0.3">
      <c r="D159" s="5">
        <v>70153</v>
      </c>
      <c r="E159" s="6">
        <v>1078</v>
      </c>
    </row>
    <row r="160" spans="4:5" x14ac:dyDescent="0.3">
      <c r="D160" s="5">
        <v>70168</v>
      </c>
      <c r="E160" s="6">
        <v>1191</v>
      </c>
    </row>
    <row r="161" spans="4:5" x14ac:dyDescent="0.3">
      <c r="D161" s="5">
        <v>70824</v>
      </c>
      <c r="E161" s="6">
        <v>1198</v>
      </c>
    </row>
    <row r="162" spans="4:5" x14ac:dyDescent="0.3">
      <c r="D162" s="5">
        <v>70876</v>
      </c>
      <c r="E162" s="6">
        <v>1026</v>
      </c>
    </row>
    <row r="163" spans="4:5" x14ac:dyDescent="0.3">
      <c r="D163" s="5">
        <v>71031</v>
      </c>
      <c r="E163" s="6">
        <v>1015</v>
      </c>
    </row>
    <row r="164" spans="4:5" x14ac:dyDescent="0.3">
      <c r="D164" s="5">
        <v>71189</v>
      </c>
      <c r="E164" s="6">
        <v>1076</v>
      </c>
    </row>
    <row r="165" spans="4:5" x14ac:dyDescent="0.3">
      <c r="D165" s="5">
        <v>71205</v>
      </c>
      <c r="E165" s="6">
        <v>1039</v>
      </c>
    </row>
    <row r="166" spans="4:5" x14ac:dyDescent="0.3">
      <c r="D166" s="5">
        <v>72645</v>
      </c>
      <c r="E166" s="6">
        <v>1188</v>
      </c>
    </row>
    <row r="167" spans="4:5" x14ac:dyDescent="0.3">
      <c r="D167" s="5">
        <v>72754</v>
      </c>
      <c r="E167" s="6">
        <v>1058</v>
      </c>
    </row>
    <row r="168" spans="4:5" x14ac:dyDescent="0.3">
      <c r="D168" s="5">
        <v>73234</v>
      </c>
      <c r="E168" s="6">
        <v>1171</v>
      </c>
    </row>
    <row r="169" spans="4:5" x14ac:dyDescent="0.3">
      <c r="D169" s="5">
        <v>73888</v>
      </c>
      <c r="E169" s="6">
        <v>1025</v>
      </c>
    </row>
    <row r="170" spans="4:5" x14ac:dyDescent="0.3">
      <c r="D170" s="5">
        <v>73896</v>
      </c>
      <c r="E170" s="6">
        <v>1185</v>
      </c>
    </row>
    <row r="171" spans="4:5" x14ac:dyDescent="0.3">
      <c r="D171" s="5">
        <v>74127</v>
      </c>
      <c r="E171" s="6">
        <v>1114</v>
      </c>
    </row>
    <row r="172" spans="4:5" x14ac:dyDescent="0.3">
      <c r="D172" s="5">
        <v>74193</v>
      </c>
      <c r="E172" s="6">
        <v>1054</v>
      </c>
    </row>
    <row r="173" spans="4:5" x14ac:dyDescent="0.3">
      <c r="D173" s="5">
        <v>74281</v>
      </c>
      <c r="E173" s="6">
        <v>1135</v>
      </c>
    </row>
    <row r="174" spans="4:5" x14ac:dyDescent="0.3">
      <c r="D174" s="5">
        <v>74340</v>
      </c>
      <c r="E174" s="6">
        <v>1182</v>
      </c>
    </row>
    <row r="175" spans="4:5" x14ac:dyDescent="0.3">
      <c r="D175" s="5">
        <v>74625</v>
      </c>
      <c r="E175" s="6">
        <v>1080</v>
      </c>
    </row>
    <row r="176" spans="4:5" x14ac:dyDescent="0.3">
      <c r="D176" s="5">
        <v>75190</v>
      </c>
      <c r="E176" s="6">
        <v>1010</v>
      </c>
    </row>
    <row r="177" spans="4:5" x14ac:dyDescent="0.3">
      <c r="D177" s="5">
        <v>75266</v>
      </c>
      <c r="E177" s="6">
        <v>1013</v>
      </c>
    </row>
    <row r="178" spans="4:5" x14ac:dyDescent="0.3">
      <c r="D178" s="5">
        <v>75680</v>
      </c>
      <c r="E178" s="6">
        <v>1144</v>
      </c>
    </row>
    <row r="179" spans="4:5" x14ac:dyDescent="0.3">
      <c r="D179" s="5">
        <v>75743</v>
      </c>
      <c r="E179" s="6">
        <v>1089</v>
      </c>
    </row>
    <row r="180" spans="4:5" x14ac:dyDescent="0.3">
      <c r="D180" s="5">
        <v>76097</v>
      </c>
      <c r="E180" s="6">
        <v>1002</v>
      </c>
    </row>
    <row r="181" spans="4:5" x14ac:dyDescent="0.3">
      <c r="D181" s="5">
        <v>76530</v>
      </c>
      <c r="E181" s="6">
        <v>1177</v>
      </c>
    </row>
    <row r="182" spans="4:5" x14ac:dyDescent="0.3">
      <c r="D182" s="5">
        <v>76737</v>
      </c>
      <c r="E182" s="6">
        <v>1165</v>
      </c>
    </row>
    <row r="183" spans="4:5" x14ac:dyDescent="0.3">
      <c r="D183" s="5">
        <v>77229</v>
      </c>
      <c r="E183" s="6">
        <v>1070</v>
      </c>
    </row>
    <row r="184" spans="4:5" x14ac:dyDescent="0.3">
      <c r="D184" s="5">
        <v>77797</v>
      </c>
      <c r="E184" s="6">
        <v>1197</v>
      </c>
    </row>
    <row r="185" spans="4:5" x14ac:dyDescent="0.3">
      <c r="D185" s="5">
        <v>77812</v>
      </c>
      <c r="E185" s="6">
        <v>1094</v>
      </c>
    </row>
    <row r="186" spans="4:5" x14ac:dyDescent="0.3">
      <c r="D186" s="5">
        <v>77924</v>
      </c>
      <c r="E186" s="6">
        <v>1143</v>
      </c>
    </row>
    <row r="187" spans="4:5" x14ac:dyDescent="0.3">
      <c r="D187" s="5">
        <v>78005</v>
      </c>
      <c r="E187" s="6">
        <v>1140</v>
      </c>
    </row>
    <row r="188" spans="4:5" x14ac:dyDescent="0.3">
      <c r="D188" s="5">
        <v>79745</v>
      </c>
      <c r="E188" s="6">
        <v>1190</v>
      </c>
    </row>
    <row r="189" spans="4:5" x14ac:dyDescent="0.3">
      <c r="D189" s="5">
        <v>79870</v>
      </c>
      <c r="E189" s="6">
        <v>1117</v>
      </c>
    </row>
    <row r="190" spans="4:5" x14ac:dyDescent="0.3">
      <c r="D190" s="5">
        <v>80311</v>
      </c>
      <c r="E190" s="6">
        <v>1116</v>
      </c>
    </row>
    <row r="191" spans="4:5" x14ac:dyDescent="0.3">
      <c r="D191" s="5">
        <v>80441</v>
      </c>
      <c r="E191" s="6">
        <v>1156</v>
      </c>
    </row>
    <row r="192" spans="4:5" x14ac:dyDescent="0.3">
      <c r="D192" s="5">
        <v>80513</v>
      </c>
      <c r="E192" s="6">
        <v>1017</v>
      </c>
    </row>
    <row r="193" spans="4:5" x14ac:dyDescent="0.3">
      <c r="D193" s="5">
        <v>80920</v>
      </c>
      <c r="E193" s="6">
        <v>1028</v>
      </c>
    </row>
    <row r="194" spans="4:5" x14ac:dyDescent="0.3">
      <c r="D194" s="5">
        <v>81228</v>
      </c>
      <c r="E194" s="6">
        <v>1162</v>
      </c>
    </row>
    <row r="195" spans="4:5" x14ac:dyDescent="0.3">
      <c r="D195" s="5">
        <v>81515</v>
      </c>
      <c r="E195" s="6">
        <v>1104</v>
      </c>
    </row>
    <row r="196" spans="4:5" x14ac:dyDescent="0.3">
      <c r="D196" s="5">
        <v>81529</v>
      </c>
      <c r="E196" s="6">
        <v>1126</v>
      </c>
    </row>
    <row r="197" spans="4:5" x14ac:dyDescent="0.3">
      <c r="D197" s="5">
        <v>82246</v>
      </c>
      <c r="E197" s="6">
        <v>1194</v>
      </c>
    </row>
    <row r="198" spans="4:5" x14ac:dyDescent="0.3">
      <c r="D198" s="5">
        <v>83439</v>
      </c>
      <c r="E198" s="6">
        <v>1087</v>
      </c>
    </row>
    <row r="199" spans="4:5" x14ac:dyDescent="0.3">
      <c r="D199" s="5">
        <v>83770</v>
      </c>
      <c r="E199" s="6">
        <v>1150</v>
      </c>
    </row>
    <row r="200" spans="4:5" x14ac:dyDescent="0.3">
      <c r="D200" s="5">
        <v>83845</v>
      </c>
      <c r="E200" s="6">
        <v>1107</v>
      </c>
    </row>
    <row r="201" spans="4:5" x14ac:dyDescent="0.3">
      <c r="D201" s="5">
        <v>84244</v>
      </c>
      <c r="E201" s="6">
        <v>1130</v>
      </c>
    </row>
    <row r="202" spans="4:5" x14ac:dyDescent="0.3">
      <c r="D202" s="5">
        <v>84334</v>
      </c>
      <c r="E202" s="6">
        <v>1093</v>
      </c>
    </row>
    <row r="203" spans="4:5" x14ac:dyDescent="0.3">
      <c r="D203" s="5">
        <v>84948</v>
      </c>
      <c r="E203" s="6">
        <v>1092</v>
      </c>
    </row>
    <row r="204" spans="4:5" x14ac:dyDescent="0.3">
      <c r="D204" s="5">
        <v>85457</v>
      </c>
      <c r="E204" s="6">
        <v>1108</v>
      </c>
    </row>
    <row r="205" spans="4:5" x14ac:dyDescent="0.3">
      <c r="D205" s="5">
        <v>85560</v>
      </c>
      <c r="E205" s="6">
        <v>1166</v>
      </c>
    </row>
    <row r="206" spans="4:5" x14ac:dyDescent="0.3">
      <c r="D206" s="5">
        <v>86753</v>
      </c>
      <c r="E206" s="6">
        <v>1061</v>
      </c>
    </row>
    <row r="207" spans="4:5" x14ac:dyDescent="0.3">
      <c r="D207" s="5">
        <v>86887</v>
      </c>
      <c r="E207" s="6">
        <v>1189</v>
      </c>
    </row>
    <row r="208" spans="4:5" x14ac:dyDescent="0.3">
      <c r="D208" s="5">
        <v>87705</v>
      </c>
      <c r="E208" s="6">
        <v>1082</v>
      </c>
    </row>
    <row r="209" spans="4:5" x14ac:dyDescent="0.3">
      <c r="D209" s="5">
        <v>87798</v>
      </c>
      <c r="E209" s="6">
        <v>1141</v>
      </c>
    </row>
    <row r="210" spans="4:5" x14ac:dyDescent="0.3">
      <c r="D210" s="5">
        <v>88773</v>
      </c>
      <c r="E210" s="6">
        <v>1052</v>
      </c>
    </row>
    <row r="211" spans="4:5" x14ac:dyDescent="0.3">
      <c r="D211" s="5">
        <v>88866</v>
      </c>
      <c r="E211" s="6">
        <v>1193</v>
      </c>
    </row>
    <row r="212" spans="4:5" x14ac:dyDescent="0.3">
      <c r="D212" s="5">
        <v>89424</v>
      </c>
      <c r="E212" s="6">
        <v>1062</v>
      </c>
    </row>
    <row r="213" spans="4:5" x14ac:dyDescent="0.3">
      <c r="D213" s="5">
        <v>89582</v>
      </c>
      <c r="E213" s="6">
        <v>1163</v>
      </c>
    </row>
    <row r="214" spans="4:5" x14ac:dyDescent="0.3">
      <c r="D214" s="5">
        <v>89601</v>
      </c>
      <c r="E214" s="6">
        <v>1022</v>
      </c>
    </row>
    <row r="215" spans="4:5" x14ac:dyDescent="0.3">
      <c r="D215" s="5">
        <v>89935</v>
      </c>
      <c r="E215" s="6">
        <v>1138</v>
      </c>
    </row>
    <row r="216" spans="4:5" x14ac:dyDescent="0.3">
      <c r="D216" s="5" t="s">
        <v>62</v>
      </c>
      <c r="E216" s="6">
        <v>220100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CE825-540E-4981-A7FB-CA59BA7680A3}">
  <dimension ref="A1"/>
  <sheetViews>
    <sheetView tabSelected="1" zoomScale="78" workbookViewId="0">
      <selection activeCell="U19" sqref="U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7726BD-057B-4C4A-B6A6-370FD6441D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Data_Set</vt:lpstr>
      <vt:lpstr>KPI Calculations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dhamodara rao mamidi</dc:creator>
  <cp:lastModifiedBy>dhamodara rao mamidi</cp:lastModifiedBy>
  <dcterms:created xsi:type="dcterms:W3CDTF">2026-02-20T05:21:36Z</dcterms:created>
  <dcterms:modified xsi:type="dcterms:W3CDTF">2026-02-28T05:30:13Z</dcterms:modified>
</cp:coreProperties>
</file>