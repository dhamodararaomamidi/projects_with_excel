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8_{839130FB-D5AD-4646-97B6-4C139FB770E1}" xr6:coauthVersionLast="47" xr6:coauthVersionMax="47" xr10:uidLastSave="{00000000-0000-0000-0000-000000000000}"/>
  <bookViews>
    <workbookView xWindow="-108" yWindow="-108" windowWidth="23256" windowHeight="13896" xr2:uid="{35993FE9-0B08-417E-975A-BBEA40BC44AC}"/>
  </bookViews>
  <sheets>
    <sheet name="Sheet2" sheetId="3" r:id="rId1"/>
    <sheet name="customer_project_data_500_rows" sheetId="2" r:id="rId2"/>
  </sheets>
  <definedNames>
    <definedName name="ExternalData_1" localSheetId="1" hidden="1">'customer_project_data_500_rows'!$A$1:$K$501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0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2" i="2"/>
  <c r="D502" i="2"/>
  <c r="D104857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1E8CFD-39EA-494A-9CAF-658811E15EB0}" keepAlive="1" name="Query - customer_project_data_500_rows" description="Connection to the 'customer_project_data_500_rows' query in the workbook." type="5" refreshedVersion="8" background="1" saveData="1">
    <dbPr connection="Provider=Microsoft.Mashup.OleDb.1;Data Source=$Workbook$;Location=customer_project_data_500_rows;Extended Properties=&quot;&quot;" command="SELECT * FROM [customer_project_data_500_rows]"/>
  </connection>
</connections>
</file>

<file path=xl/sharedStrings.xml><?xml version="1.0" encoding="utf-8"?>
<sst xmlns="http://schemas.openxmlformats.org/spreadsheetml/2006/main" count="3058" uniqueCount="537">
  <si>
    <t>Customer_ID</t>
  </si>
  <si>
    <t>Name</t>
  </si>
  <si>
    <t>Gender</t>
  </si>
  <si>
    <t>Age</t>
  </si>
  <si>
    <t>City</t>
  </si>
  <si>
    <t>Purchase_Date</t>
  </si>
  <si>
    <t>Product</t>
  </si>
  <si>
    <t>Category</t>
  </si>
  <si>
    <t>Quantity</t>
  </si>
  <si>
    <t>Price</t>
  </si>
  <si>
    <t>Payment_Mode</t>
  </si>
  <si>
    <t>Customer_1</t>
  </si>
  <si>
    <t>Chennai</t>
  </si>
  <si>
    <t>Mobile</t>
  </si>
  <si>
    <t>Accessories</t>
  </si>
  <si>
    <t>Cash on Delivery</t>
  </si>
  <si>
    <t>Customer_2</t>
  </si>
  <si>
    <t>Hyderabad</t>
  </si>
  <si>
    <t>Keyboard</t>
  </si>
  <si>
    <t>Electronics</t>
  </si>
  <si>
    <t>Net Banking</t>
  </si>
  <si>
    <t>Customer_3</t>
  </si>
  <si>
    <t>Headphones</t>
  </si>
  <si>
    <t>Gadgets</t>
  </si>
  <si>
    <t>Customer_4</t>
  </si>
  <si>
    <t>Laptop</t>
  </si>
  <si>
    <t>Debit Card</t>
  </si>
  <si>
    <t>Customer_5</t>
  </si>
  <si>
    <t>Customer_6</t>
  </si>
  <si>
    <t>Visakhapatnam</t>
  </si>
  <si>
    <t>Monitor</t>
  </si>
  <si>
    <t>Customer_7</t>
  </si>
  <si>
    <t>Mumbai</t>
  </si>
  <si>
    <t>Customer_8</t>
  </si>
  <si>
    <t>Tablet</t>
  </si>
  <si>
    <t>Customer_9</t>
  </si>
  <si>
    <t>Bangalore</t>
  </si>
  <si>
    <t>Credit Card</t>
  </si>
  <si>
    <t>Customer_10</t>
  </si>
  <si>
    <t>UPI</t>
  </si>
  <si>
    <t>Customer_11</t>
  </si>
  <si>
    <t>Customer_12</t>
  </si>
  <si>
    <t>Other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</si>
  <si>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</si>
  <si>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</si>
  <si>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</si>
  <si>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</si>
  <si>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</si>
  <si>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</si>
  <si>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</si>
  <si>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</si>
  <si>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</si>
  <si>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</si>
  <si>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</si>
  <si>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</si>
  <si>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</si>
  <si>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</si>
  <si>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</si>
  <si>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</si>
  <si>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</si>
  <si>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</si>
  <si>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</si>
  <si>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</si>
  <si>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</si>
  <si>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</si>
  <si>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</si>
  <si>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</si>
  <si>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</si>
  <si>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</si>
  <si>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</si>
  <si>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</si>
  <si>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</si>
  <si>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</si>
  <si>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</si>
  <si>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</si>
  <si>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</si>
  <si>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</si>
  <si>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</si>
  <si>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</si>
  <si>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</si>
  <si>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</si>
  <si>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</si>
  <si>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</si>
  <si>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</si>
  <si>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</si>
  <si>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</si>
  <si>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</si>
  <si>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</si>
  <si>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</si>
  <si>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</si>
  <si>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</si>
  <si>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</si>
  <si>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</si>
  <si>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</si>
  <si>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</si>
  <si>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</si>
  <si>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</si>
  <si>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</si>
  <si>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</si>
  <si>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</si>
  <si>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</si>
  <si>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</si>
  <si>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</si>
  <si>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</si>
  <si>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</si>
  <si>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</si>
  <si>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</si>
  <si>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</si>
  <si>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</si>
  <si>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</si>
  <si>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</si>
  <si>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</si>
  <si>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</si>
  <si>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</si>
  <si>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</si>
  <si>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</si>
  <si>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</si>
  <si>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</si>
  <si>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</si>
  <si>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</si>
  <si>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</si>
  <si>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</si>
  <si>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</si>
  <si>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</si>
  <si>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</si>
  <si>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</si>
  <si>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</si>
  <si>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</si>
  <si>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</si>
  <si>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</si>
  <si>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</si>
  <si>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</si>
  <si>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</si>
  <si>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</si>
  <si>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</si>
  <si>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</si>
  <si>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</si>
  <si>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</si>
  <si>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</si>
  <si>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</si>
  <si>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</si>
  <si>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</si>
  <si>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</si>
  <si>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</si>
  <si>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</si>
  <si>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</si>
  <si>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</si>
  <si>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</si>
  <si>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</si>
  <si>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</si>
  <si>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</si>
  <si>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</si>
  <si>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</si>
  <si>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</si>
  <si>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</si>
  <si>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</si>
  <si>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</si>
  <si>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</si>
  <si>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</si>
  <si>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</si>
  <si>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</si>
  <si>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</si>
  <si>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</si>
  <si>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</si>
  <si>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</si>
  <si>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</si>
  <si>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</si>
  <si>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</si>
  <si>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</si>
  <si>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</si>
  <si>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</si>
  <si>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</si>
  <si>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</si>
  <si>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</si>
  <si>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</si>
  <si>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</si>
  <si>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</si>
  <si>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</si>
  <si>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</si>
  <si>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</si>
  <si>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</si>
  <si>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</si>
  <si>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</si>
  <si>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</si>
  <si>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</si>
  <si>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</si>
  <si>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</si>
  <si>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</si>
  <si>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</si>
  <si>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</si>
  <si>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</si>
  <si>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</si>
  <si>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</si>
  <si>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</si>
  <si>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</si>
  <si>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</si>
  <si>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</si>
  <si>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</si>
  <si>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</si>
  <si>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</si>
  <si>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</si>
  <si>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</si>
  <si>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</si>
  <si>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</si>
  <si>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</si>
  <si>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</si>
  <si>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</si>
  <si>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</si>
  <si>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</si>
  <si>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</si>
  <si>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</si>
  <si>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</si>
  <si>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</si>
  <si>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</si>
  <si>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</si>
  <si>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</si>
  <si>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</si>
  <si>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</si>
  <si>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</si>
  <si>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</si>
  <si>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</si>
  <si>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</si>
  <si>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</si>
  <si>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</si>
  <si>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</si>
  <si>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</si>
  <si>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</si>
  <si>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</si>
  <si>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</si>
  <si>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</si>
  <si>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</si>
  <si>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</si>
  <si>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</si>
  <si>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</si>
  <si>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</si>
  <si>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</si>
  <si>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</si>
  <si>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</si>
  <si>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</si>
  <si>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</si>
  <si>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</si>
  <si>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</si>
  <si>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</si>
  <si>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</si>
  <si>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</si>
  <si>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</si>
  <si>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</si>
  <si>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</si>
  <si>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</si>
  <si>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</si>
  <si>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</si>
  <si>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</si>
  <si>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</si>
  <si>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</si>
  <si>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</si>
  <si>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</si>
  <si>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</si>
  <si>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</si>
  <si>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</si>
  <si>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</si>
  <si>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</si>
  <si>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</si>
  <si>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</si>
  <si>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</si>
  <si>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</si>
  <si>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</si>
  <si>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</si>
  <si>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</si>
  <si>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</si>
  <si>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</si>
  <si>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</si>
  <si>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</si>
  <si>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</si>
  <si>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</si>
  <si>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</si>
  <si>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</si>
  <si>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</si>
  <si>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</si>
  <si>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</si>
  <si>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</si>
  <si>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</si>
  <si>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</si>
  <si>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</si>
  <si>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</si>
  <si>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</si>
  <si>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</si>
  <si>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</si>
  <si>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</si>
  <si>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</si>
  <si>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</si>
  <si>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</si>
  <si>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</si>
  <si>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</si>
  <si>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</si>
  <si>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</si>
  <si>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</si>
  <si>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</si>
  <si>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</si>
  <si>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</si>
  <si>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</si>
  <si>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</si>
  <si>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</si>
  <si>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</si>
  <si>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</si>
  <si>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</si>
  <si>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</si>
  <si>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</si>
  <si>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</si>
  <si>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</si>
  <si>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</si>
  <si>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</si>
  <si>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</si>
  <si>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</si>
  <si>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</si>
  <si>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</si>
  <si>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</si>
  <si>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</si>
  <si>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</si>
  <si>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</si>
  <si>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</si>
  <si>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</si>
  <si>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</si>
  <si>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</si>
  <si>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</si>
  <si>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</si>
  <si>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</si>
  <si>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</si>
  <si>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</si>
  <si>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</si>
  <si>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</si>
  <si>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</si>
  <si>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</si>
  <si>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</si>
  <si>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</si>
  <si>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</si>
  <si>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</si>
  <si>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</si>
  <si>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</si>
  <si>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</si>
  <si>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</si>
  <si>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</si>
  <si>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</si>
  <si>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</si>
  <si>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</si>
  <si>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</si>
  <si>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</si>
  <si>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</si>
  <si>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</si>
  <si>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</si>
  <si>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</si>
  <si>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</si>
  <si>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</si>
  <si>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</si>
  <si>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</si>
  <si>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</si>
  <si>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</si>
  <si>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</si>
  <si>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</si>
  <si>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</si>
  <si>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</si>
  <si>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</si>
  <si>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</si>
  <si>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</si>
  <si>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</si>
  <si>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</si>
  <si>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</si>
  <si>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</si>
  <si>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</si>
  <si>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</si>
  <si>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</si>
  <si>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</si>
  <si>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</si>
  <si>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</si>
  <si>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</si>
  <si>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</si>
  <si>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</si>
  <si>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</si>
  <si>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</si>
  <si>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</si>
  <si>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</si>
  <si>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</si>
  <si>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</si>
  <si>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</si>
  <si>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</si>
  <si>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</si>
  <si>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</si>
  <si>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</si>
  <si>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</si>
  <si>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</si>
  <si>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</si>
  <si>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</si>
  <si>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</si>
  <si>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</si>
  <si>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</si>
  <si>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</si>
  <si>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</si>
  <si>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</si>
  <si>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</si>
  <si>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</si>
  <si>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</si>
  <si>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</si>
  <si>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</si>
  <si>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</si>
  <si>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</si>
  <si>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</si>
  <si>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</si>
  <si>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</si>
  <si>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</si>
  <si>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</si>
  <si>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</si>
  <si>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</si>
  <si>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</si>
  <si>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</si>
  <si>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</si>
  <si>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</si>
  <si>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</si>
  <si>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</si>
  <si>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</si>
  <si>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</si>
  <si>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</si>
  <si>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</si>
  <si>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</si>
  <si>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</si>
  <si>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</si>
  <si>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</si>
  <si>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</si>
  <si>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</si>
  <si>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</si>
  <si>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</si>
  <si>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</si>
  <si>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</si>
  <si>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</si>
  <si>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</si>
  <si>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</si>
  <si>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</si>
  <si>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</si>
  <si>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</si>
  <si>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</si>
  <si>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</si>
  <si>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</si>
  <si>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</si>
  <si>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</si>
  <si>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</si>
  <si>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</si>
  <si>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</si>
  <si>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</si>
  <si>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</si>
  <si>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</si>
  <si>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</si>
  <si>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</si>
  <si>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</si>
  <si>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</si>
  <si>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</si>
  <si>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</si>
  <si>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</si>
  <si>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</si>
  <si>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</si>
  <si>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</si>
  <si>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</si>
  <si>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</si>
  <si>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</si>
  <si>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</si>
  <si>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</si>
  <si>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</si>
  <si>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</si>
  <si>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</si>
  <si>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</si>
  <si>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</si>
  <si>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</si>
  <si>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</si>
  <si>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</si>
  <si>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</si>
  <si>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</si>
  <si>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</si>
  <si>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</si>
  <si>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</si>
  <si>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</si>
  <si>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</si>
  <si>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</si>
  <si>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</si>
  <si>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</si>
  <si>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</si>
  <si>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</si>
  <si>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</si>
  <si>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</si>
  <si>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</si>
  <si>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</si>
  <si>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</si>
  <si>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</si>
  <si>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</si>
  <si>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</si>
  <si>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</si>
  <si>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</si>
  <si>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</si>
  <si>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</si>
  <si>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</si>
  <si>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</si>
  <si>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</si>
  <si>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</si>
  <si>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</si>
  <si>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</si>
  <si>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</si>
  <si>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</si>
  <si>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</si>
  <si>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</si>
  <si>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</si>
  <si>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</si>
  <si>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</si>
  <si>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</si>
  <si>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</si>
  <si>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</si>
  <si>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</si>
  <si>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</si>
  <si>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</si>
  <si>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</si>
  <si>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</si>
  <si>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</si>
  <si>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</si>
  <si>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</si>
  <si>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</si>
  <si>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</si>
  <si>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</si>
  <si>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</si>
  <si>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</si>
  <si>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</si>
  <si>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</si>
  <si>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</si>
  <si>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</si>
  <si>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</si>
  <si>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</si>
  <si>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</si>
  <si>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FeMALE</t>
  </si>
  <si>
    <t>MALE</t>
  </si>
  <si>
    <t>total sale</t>
  </si>
  <si>
    <t>Sum of total sale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</si>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</sst>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6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Data Cleaning &amp; Insights Analysis.guide me with every step.xlsx]Sheet2!PivotTable1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Sheet2!$A$4:$A$39</c:f>
              <c:multiLvlStrCache>
                <c:ptCount val="30"/>
                <c:lvl>
                  <c:pt idx="0">
                    <c:v>Headphones</c:v>
                  </c:pt>
                  <c:pt idx="1">
                    <c:v>Keyboard</c:v>
                  </c:pt>
                  <c:pt idx="2">
                    <c:v>Laptop</c:v>
                  </c:pt>
                  <c:pt idx="3">
                    <c:v>Mobile</c:v>
                  </c:pt>
                  <c:pt idx="4">
                    <c:v>Monitor</c:v>
                  </c:pt>
                  <c:pt idx="5">
                    <c:v>Tablet</c:v>
                  </c:pt>
                  <c:pt idx="6">
                    <c:v>Headphones</c:v>
                  </c:pt>
                  <c:pt idx="7">
                    <c:v>Keyboard</c:v>
                  </c:pt>
                  <c:pt idx="8">
                    <c:v>Laptop</c:v>
                  </c:pt>
                  <c:pt idx="9">
                    <c:v>Mobile</c:v>
                  </c:pt>
                  <c:pt idx="10">
                    <c:v>Monitor</c:v>
                  </c:pt>
                  <c:pt idx="11">
                    <c:v>Tablet</c:v>
                  </c:pt>
                  <c:pt idx="12">
                    <c:v>Headphones</c:v>
                  </c:pt>
                  <c:pt idx="13">
                    <c:v>Keyboard</c:v>
                  </c:pt>
                  <c:pt idx="14">
                    <c:v>Laptop</c:v>
                  </c:pt>
                  <c:pt idx="15">
                    <c:v>Mobile</c:v>
                  </c:pt>
                  <c:pt idx="16">
                    <c:v>Monitor</c:v>
                  </c:pt>
                  <c:pt idx="17">
                    <c:v>Tablet</c:v>
                  </c:pt>
                  <c:pt idx="18">
                    <c:v>Headphones</c:v>
                  </c:pt>
                  <c:pt idx="19">
                    <c:v>Keyboard</c:v>
                  </c:pt>
                  <c:pt idx="20">
                    <c:v>Laptop</c:v>
                  </c:pt>
                  <c:pt idx="21">
                    <c:v>Mobile</c:v>
                  </c:pt>
                  <c:pt idx="22">
                    <c:v>Monitor</c:v>
                  </c:pt>
                  <c:pt idx="23">
                    <c:v>Tablet</c:v>
                  </c:pt>
                  <c:pt idx="24">
                    <c:v>Headphones</c:v>
                  </c:pt>
                  <c:pt idx="25">
                    <c:v>Keyboard</c:v>
                  </c:pt>
                  <c:pt idx="26">
                    <c:v>Laptop</c:v>
                  </c:pt>
                  <c:pt idx="27">
                    <c:v>Mobile</c:v>
                  </c:pt>
                  <c:pt idx="28">
                    <c:v>Monitor</c:v>
                  </c:pt>
                  <c:pt idx="29">
                    <c:v>Tablet</c:v>
                  </c:pt>
                </c:lvl>
                <c:lvl>
                  <c:pt idx="0">
                    <c:v>Cash on Delivery</c:v>
                  </c:pt>
                  <c:pt idx="6">
                    <c:v>Credit Card</c:v>
                  </c:pt>
                  <c:pt idx="12">
                    <c:v>Debit Card</c:v>
                  </c:pt>
                  <c:pt idx="18">
                    <c:v>Net Banking</c:v>
                  </c:pt>
                  <c:pt idx="24">
                    <c:v>UPI</c:v>
                  </c:pt>
                </c:lvl>
              </c:multiLvlStrCache>
            </c:multiLvlStrRef>
          </c:cat>
          <c:val>
            <c:numRef>
              <c:f>Sheet2!$B$4:$B$39</c:f>
              <c:numCache>
                <c:formatCode>General</c:formatCode>
                <c:ptCount val="30"/>
                <c:pt idx="0">
                  <c:v>2030192.35</c:v>
                </c:pt>
                <c:pt idx="1">
                  <c:v>426654.23</c:v>
                </c:pt>
                <c:pt idx="2">
                  <c:v>1109074.21</c:v>
                </c:pt>
                <c:pt idx="3">
                  <c:v>1238698.1300000001</c:v>
                </c:pt>
                <c:pt idx="4">
                  <c:v>888430.12</c:v>
                </c:pt>
                <c:pt idx="5">
                  <c:v>1713435.6400000001</c:v>
                </c:pt>
                <c:pt idx="6">
                  <c:v>759884.24</c:v>
                </c:pt>
                <c:pt idx="7">
                  <c:v>872628.2300000001</c:v>
                </c:pt>
                <c:pt idx="8">
                  <c:v>1541902.3399999999</c:v>
                </c:pt>
                <c:pt idx="9">
                  <c:v>969302.66</c:v>
                </c:pt>
                <c:pt idx="10">
                  <c:v>1548926.45</c:v>
                </c:pt>
                <c:pt idx="11">
                  <c:v>1074797.69</c:v>
                </c:pt>
                <c:pt idx="12">
                  <c:v>533640.01000000013</c:v>
                </c:pt>
                <c:pt idx="13">
                  <c:v>1344304.06</c:v>
                </c:pt>
                <c:pt idx="14">
                  <c:v>1767220.4599999995</c:v>
                </c:pt>
                <c:pt idx="15">
                  <c:v>1009217.9299999999</c:v>
                </c:pt>
                <c:pt idx="16">
                  <c:v>1495215.4600000004</c:v>
                </c:pt>
                <c:pt idx="17">
                  <c:v>1096180.26</c:v>
                </c:pt>
                <c:pt idx="18">
                  <c:v>1285144.5099999998</c:v>
                </c:pt>
                <c:pt idx="19">
                  <c:v>1442710.0500000003</c:v>
                </c:pt>
                <c:pt idx="20">
                  <c:v>1464361.48</c:v>
                </c:pt>
                <c:pt idx="21">
                  <c:v>1239092.05</c:v>
                </c:pt>
                <c:pt idx="22">
                  <c:v>1488078.7</c:v>
                </c:pt>
                <c:pt idx="23">
                  <c:v>1020926.4600000003</c:v>
                </c:pt>
                <c:pt idx="24">
                  <c:v>1475499.5999999999</c:v>
                </c:pt>
                <c:pt idx="25">
                  <c:v>1035814.0099999999</c:v>
                </c:pt>
                <c:pt idx="26">
                  <c:v>985109.13</c:v>
                </c:pt>
                <c:pt idx="27">
                  <c:v>1749064.7499999998</c:v>
                </c:pt>
                <c:pt idx="28">
                  <c:v>721440.56</c:v>
                </c:pt>
                <c:pt idx="29">
                  <c:v>689953.84000000008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E9-4680-BA33-362382CB4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847200"/>
        <c:axId val="146851520"/>
      </c:barChart>
      <c:catAx>
        <c:axId val="14684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51520"/>
        <c:crosses val="autoZero"/>
        <c:auto val="1"/>
        <c:lblAlgn val="ctr"/>
        <c:lblOffset val="100"/>
        <c:noMultiLvlLbl val="0"/>
      </c:catAx>
      <c:valAx>
        <c:axId val="14685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4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Data Cleaning &amp; Insights Analysis.guide me with every step.xlsx]Sheet2!PivotTable2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MODE</a:t>
            </a:r>
            <a:endParaRPr lang="en-US"/>
          </a:p>
        </c:rich>
      </c:tx>
      <c:layout>
        <c:manualLayout>
          <c:xMode val="edge"/>
          <c:yMode val="edge"/>
          <c:x val="0.41593744531933508"/>
          <c:y val="0.13323855351414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Sheet2!$P$25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Sheet2!$O$26:$O$31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Sheet2!$P$26:$P$31</c:f>
              <c:numCache>
                <c:formatCode>General</c:formatCode>
                <c:ptCount val="5"/>
                <c:pt idx="0">
                  <c:v>7406484.6800000006</c:v>
                </c:pt>
                <c:pt idx="1">
                  <c:v>6767441.6100000003</c:v>
                </c:pt>
                <c:pt idx="2">
                  <c:v>7245778.1800000016</c:v>
                </c:pt>
                <c:pt idx="3">
                  <c:v>7940313.25</c:v>
                </c:pt>
                <c:pt idx="4">
                  <c:v>6656881.8900000015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B-44A9-803A-DA9D5119E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9994448"/>
        <c:axId val="249982448"/>
      </c:barChart>
      <c:catAx>
        <c:axId val="24999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982448"/>
        <c:crosses val="autoZero"/>
        <c:auto val="1"/>
        <c:lblAlgn val="ctr"/>
        <c:lblOffset val="100"/>
        <c:noMultiLvlLbl val="0"/>
      </c:catAx>
      <c:valAx>
        <c:axId val="24998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99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807720</xdr:colOff>
      <xdr:row>7</xdr:row>
      <xdr:rowOff>15240</xdr:rowOff>
    </xdr:from>
    <xdr:to>
      <xdr:col>11</xdr:col>
      <xdr:colOff>464820</xdr:colOff>
      <xdr:row>25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39E8BD-69DB-3282-0540-80FF3FCBE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769620</xdr:colOff>
      <xdr:row>28</xdr:row>
      <xdr:rowOff>26670</xdr:rowOff>
    </xdr:from>
    <xdr:to>
      <xdr:col>10</xdr:col>
      <xdr:colOff>251460</xdr:colOff>
      <xdr:row>43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CEA8F4-9F5F-5DE6-5057-1D5CCFED77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midi dhamodara rao" refreshedDate="46071.931176273145" createdVersion="8" refreshedVersion="8" minRefreshableVersion="3" recordCount="500" xr:uid="{EADC2094-5EE9-4FE6-A63B-5755DF9376EA}">
  <cacheSource type="worksheet">
    <worksheetSource name="customer_project_data_500_rows"/>
  </cacheSource>
  <cacheFields count="12">
    <cacheField name="Customer_ID" numFmtId="0">
      <sharedItems containsSemiMixedTypes="0" containsString="0" containsNumber="1" containsInteger="1" minValue="1001" maxValue="1500"/>
    </cacheField>
    <cacheField name="Name" numFmtId="0">
      <sharedItems count="500">
        <s v="Customer_1"/>
        <s v="Customer_2"/>
        <s v="Customer_3"/>
        <s v="Customer_4"/>
        <s v="Customer_5"/>
        <s v="Customer_6"/>
        <s v="Customer_7"/>
        <s v="Customer_8"/>
        <s v="Customer_9"/>
        <s v="Customer_10"/>
        <s v="Customer_11"/>
        <s v="Customer_12"/>
        <s v="Customer_13"/>
        <s v="Customer_14"/>
        <s v="Customer_15"/>
        <s v="Customer_16"/>
        <s v="Customer_17"/>
        <s v="Customer_18"/>
        <s v="Customer_19"/>
        <s v="Customer_20"/>
        <s v="Customer_21"/>
        <s v="Customer_22"/>
        <s v="Customer_23"/>
        <s v="Customer_24"/>
        <s v="Customer_25"/>
        <s v="Customer_26"/>
        <s v="Customer_27"/>
        <s v="Customer_28"/>
        <s v="Customer_29"/>
        <s v="Customer_30"/>
        <s v="Customer_31"/>
        <s v="Customer_32"/>
        <s v="Customer_33"/>
        <s v="Customer_34"/>
        <s v="Customer_35"/>
        <s v="Customer_36"/>
        <s v="Customer_37"/>
        <s v="Customer_38"/>
        <s v="Customer_39"/>
        <s v="Customer_40"/>
        <s v="Customer_41"/>
        <s v="Customer_42"/>
        <s v="Customer_43"/>
        <s v="Customer_44"/>
        <s v="Customer_45"/>
        <s v="Customer_46"/>
        <s v="Customer_47"/>
        <s v="Customer_48"/>
        <s v="Customer_49"/>
        <s v="Customer_50"/>
        <s v="Customer_51"/>
        <s v="Customer_52"/>
        <s v="Customer_53"/>
        <s v="Customer_54"/>
        <s v="Customer_55"/>
        <s v="Customer_56"/>
        <s v="Customer_57"/>
        <s v="Customer_58"/>
        <s v="Customer_59"/>
        <s v="Customer_60"/>
        <s v="Customer_61"/>
        <s v="Customer_62"/>
        <s v="Customer_63"/>
        <s v="Customer_64"/>
        <s v="Customer_65"/>
        <s v="Customer_66"/>
        <s v="Customer_67"/>
        <s v="Customer_68"/>
        <s v="Customer_69"/>
        <s v="Customer_70"/>
        <s v="Customer_71"/>
        <s v="Customer_72"/>
        <s v="Customer_73"/>
        <s v="Customer_74"/>
        <s v="Customer_75"/>
        <s v="Customer_76"/>
        <s v="Customer_77"/>
        <s v="Customer_78"/>
        <s v="Customer_79"/>
        <s v="Customer_80"/>
        <s v="Customer_81"/>
        <s v="Customer_82"/>
        <s v="Customer_83"/>
        <s v="Customer_84"/>
        <s v="Customer_85"/>
        <s v="Customer_86"/>
        <s v="Customer_87"/>
        <s v="Customer_88"/>
        <s v="Customer_89"/>
        <s v="Customer_90"/>
        <s v="Customer_91"/>
        <s v="Customer_92"/>
        <s v="Customer_93"/>
        <s v="Customer_94"/>
        <s v="Customer_95"/>
        <s v="Customer_96"/>
        <s v="Customer_97"/>
        <s v="Customer_98"/>
        <s v="Customer_99"/>
        <s v="Customer_100"/>
        <s v="Customer_101"/>
        <s v="Customer_102"/>
        <s v="Customer_103"/>
        <s v="Customer_104"/>
        <s v="Customer_105"/>
        <s v="Customer_106"/>
        <s v="Customer_107"/>
        <s v="Customer_108"/>
        <s v="Customer_109"/>
        <s v="Customer_110"/>
        <s v="Customer_111"/>
        <s v="Customer_112"/>
        <s v="Customer_113"/>
        <s v="Customer_114"/>
        <s v="Customer_115"/>
        <s v="Customer_116"/>
        <s v="Customer_117"/>
        <s v="Customer_118"/>
        <s v="Customer_119"/>
        <s v="Customer_120"/>
        <s v="Customer_121"/>
        <s v="Customer_122"/>
        <s v="Customer_123"/>
        <s v="Customer_124"/>
        <s v="Customer_125"/>
        <s v="Customer_126"/>
        <s v="Customer_127"/>
        <s v="Customer_128"/>
        <s v="Customer_129"/>
        <s v="Customer_130"/>
        <s v="Customer_131"/>
        <s v="Customer_132"/>
        <s v="Customer_133"/>
        <s v="Customer_134"/>
        <s v="Customer_135"/>
        <s v="Customer_136"/>
        <s v="Customer_137"/>
        <s v="Customer_138"/>
        <s v="Customer_139"/>
        <s v="Customer_140"/>
        <s v="Customer_141"/>
        <s v="Customer_142"/>
        <s v="Customer_143"/>
        <s v="Customer_144"/>
        <s v="Customer_145"/>
        <s v="Customer_146"/>
        <s v="Customer_147"/>
        <s v="Customer_148"/>
        <s v="Customer_149"/>
        <s v="Customer_150"/>
        <s v="Customer_151"/>
        <s v="Customer_152"/>
        <s v="Customer_153"/>
        <s v="Customer_154"/>
        <s v="Customer_155"/>
        <s v="Customer_156"/>
        <s v="Customer_157"/>
        <s v="Customer_158"/>
        <s v="Customer_159"/>
        <s v="Customer_160"/>
        <s v="Customer_161"/>
        <s v="Customer_162"/>
        <s v="Customer_163"/>
        <s v="Customer_164"/>
        <s v="Customer_165"/>
        <s v="Customer_166"/>
        <s v="Customer_167"/>
        <s v="Customer_168"/>
        <s v="Customer_169"/>
        <s v="Customer_170"/>
        <s v="Customer_171"/>
        <s v="Customer_172"/>
        <s v="Customer_173"/>
        <s v="Customer_174"/>
        <s v="Customer_175"/>
        <s v="Customer_176"/>
        <s v="Customer_177"/>
        <s v="Customer_178"/>
        <s v="Customer_179"/>
        <s v="Customer_180"/>
        <s v="Customer_181"/>
        <s v="Customer_182"/>
        <s v="Customer_183"/>
        <s v="Customer_184"/>
        <s v="Customer_185"/>
        <s v="Customer_186"/>
        <s v="Customer_187"/>
        <s v="Customer_188"/>
        <s v="Customer_189"/>
        <s v="Customer_190"/>
        <s v="Customer_191"/>
        <s v="Customer_192"/>
        <s v="Customer_193"/>
        <s v="Customer_194"/>
        <s v="Customer_195"/>
        <s v="Customer_196"/>
        <s v="Customer_197"/>
        <s v="Customer_198"/>
        <s v="Customer_199"/>
        <s v="Customer_200"/>
        <s v="Customer_201"/>
        <s v="Customer_202"/>
        <s v="Customer_203"/>
        <s v="Customer_204"/>
        <s v="Customer_205"/>
        <s v="Customer_206"/>
        <s v="Customer_207"/>
        <s v="Customer_208"/>
        <s v="Customer_209"/>
        <s v="Customer_210"/>
        <s v="Customer_211"/>
        <s v="Customer_212"/>
        <s v="Customer_213"/>
        <s v="Customer_214"/>
        <s v="Customer_215"/>
        <s v="Customer_216"/>
        <s v="Customer_217"/>
        <s v="Customer_218"/>
        <s v="Customer_219"/>
        <s v="Customer_220"/>
        <s v="Customer_221"/>
        <s v="Customer_222"/>
        <s v="Customer_223"/>
        <s v="Customer_224"/>
        <s v="Customer_225"/>
        <s v="Customer_226"/>
        <s v="Customer_227"/>
        <s v="Customer_228"/>
        <s v="Customer_229"/>
        <s v="Customer_230"/>
        <s v="Customer_231"/>
        <s v="Customer_232"/>
        <s v="Customer_233"/>
        <s v="Customer_234"/>
        <s v="Customer_235"/>
        <s v="Customer_236"/>
        <s v="Customer_237"/>
        <s v="Customer_238"/>
        <s v="Customer_239"/>
        <s v="Customer_240"/>
        <s v="Customer_241"/>
        <s v="Customer_242"/>
        <s v="Customer_243"/>
        <s v="Customer_244"/>
        <s v="Customer_245"/>
        <s v="Customer_246"/>
        <s v="Customer_247"/>
        <s v="Customer_248"/>
        <s v="Customer_249"/>
        <s v="Customer_250"/>
        <s v="Customer_251"/>
        <s v="Customer_252"/>
        <s v="Customer_253"/>
        <s v="Customer_254"/>
        <s v="Customer_255"/>
        <s v="Customer_256"/>
        <s v="Customer_257"/>
        <s v="Customer_258"/>
        <s v="Customer_259"/>
        <s v="Customer_260"/>
        <s v="Customer_261"/>
        <s v="Customer_262"/>
        <s v="Customer_263"/>
        <s v="Customer_264"/>
        <s v="Customer_265"/>
        <s v="Customer_266"/>
        <s v="Customer_267"/>
        <s v="Customer_268"/>
        <s v="Customer_269"/>
        <s v="Customer_270"/>
        <s v="Customer_271"/>
        <s v="Customer_272"/>
        <s v="Customer_273"/>
        <s v="Customer_274"/>
        <s v="Customer_275"/>
        <s v="Customer_276"/>
        <s v="Customer_277"/>
        <s v="Customer_278"/>
        <s v="Customer_279"/>
        <s v="Customer_280"/>
        <s v="Customer_281"/>
        <s v="Customer_282"/>
        <s v="Customer_283"/>
        <s v="Customer_284"/>
        <s v="Customer_285"/>
        <s v="Customer_286"/>
        <s v="Customer_287"/>
        <s v="Customer_288"/>
        <s v="Customer_289"/>
        <s v="Customer_290"/>
        <s v="Customer_291"/>
        <s v="Customer_292"/>
        <s v="Customer_293"/>
        <s v="Customer_294"/>
        <s v="Customer_295"/>
        <s v="Customer_296"/>
        <s v="Customer_297"/>
        <s v="Customer_298"/>
        <s v="Customer_299"/>
        <s v="Customer_300"/>
        <s v="Customer_301"/>
        <s v="Customer_302"/>
        <s v="Customer_303"/>
        <s v="Customer_304"/>
        <s v="Customer_305"/>
        <s v="Customer_306"/>
        <s v="Customer_307"/>
        <s v="Customer_308"/>
        <s v="Customer_309"/>
        <s v="Customer_310"/>
        <s v="Customer_311"/>
        <s v="Customer_312"/>
        <s v="Customer_313"/>
        <s v="Customer_314"/>
        <s v="Customer_315"/>
        <s v="Customer_316"/>
        <s v="Customer_317"/>
        <s v="Customer_318"/>
        <s v="Customer_319"/>
        <s v="Customer_320"/>
        <s v="Customer_321"/>
        <s v="Customer_322"/>
        <s v="Customer_323"/>
        <s v="Customer_324"/>
        <s v="Customer_325"/>
        <s v="Customer_326"/>
        <s v="Customer_327"/>
        <s v="Customer_328"/>
        <s v="Customer_329"/>
        <s v="Customer_330"/>
        <s v="Customer_331"/>
        <s v="Customer_332"/>
        <s v="Customer_333"/>
        <s v="Customer_334"/>
        <s v="Customer_335"/>
        <s v="Customer_336"/>
        <s v="Customer_337"/>
        <s v="Customer_338"/>
        <s v="Customer_339"/>
        <s v="Customer_340"/>
        <s v="Customer_341"/>
        <s v="Customer_342"/>
        <s v="Customer_343"/>
        <s v="Customer_344"/>
        <s v="Customer_345"/>
        <s v="Customer_346"/>
        <s v="Customer_347"/>
        <s v="Customer_348"/>
        <s v="Customer_349"/>
        <s v="Customer_350"/>
        <s v="Customer_351"/>
        <s v="Customer_352"/>
        <s v="Customer_353"/>
        <s v="Customer_354"/>
        <s v="Customer_355"/>
        <s v="Customer_356"/>
        <s v="Customer_357"/>
        <s v="Customer_358"/>
        <s v="Customer_359"/>
        <s v="Customer_360"/>
        <s v="Customer_361"/>
        <s v="Customer_362"/>
        <s v="Customer_363"/>
        <s v="Customer_364"/>
        <s v="Customer_365"/>
        <s v="Customer_366"/>
        <s v="Customer_367"/>
        <s v="Customer_368"/>
        <s v="Customer_369"/>
        <s v="Customer_370"/>
        <s v="Customer_371"/>
        <s v="Customer_372"/>
        <s v="Customer_373"/>
        <s v="Customer_374"/>
        <s v="Customer_375"/>
        <s v="Customer_376"/>
        <s v="Customer_377"/>
        <s v="Customer_378"/>
        <s v="Customer_379"/>
        <s v="Customer_380"/>
        <s v="Customer_381"/>
        <s v="Customer_382"/>
        <s v="Customer_383"/>
        <s v="Customer_384"/>
        <s v="Customer_385"/>
        <s v="Customer_386"/>
        <s v="Customer_387"/>
        <s v="Customer_388"/>
        <s v="Customer_389"/>
        <s v="Customer_390"/>
        <s v="Customer_391"/>
        <s v="Customer_392"/>
        <s v="Customer_393"/>
        <s v="Customer_394"/>
        <s v="Customer_395"/>
        <s v="Customer_396"/>
        <s v="Customer_397"/>
        <s v="Customer_398"/>
        <s v="Customer_399"/>
        <s v="Customer_400"/>
        <s v="Customer_401"/>
        <s v="Customer_402"/>
        <s v="Customer_403"/>
        <s v="Customer_404"/>
        <s v="Customer_405"/>
        <s v="Customer_406"/>
        <s v="Customer_407"/>
        <s v="Customer_408"/>
        <s v="Customer_409"/>
        <s v="Customer_410"/>
        <s v="Customer_411"/>
        <s v="Customer_412"/>
        <s v="Customer_413"/>
        <s v="Customer_414"/>
        <s v="Customer_415"/>
        <s v="Customer_416"/>
        <s v="Customer_417"/>
        <s v="Customer_418"/>
        <s v="Customer_419"/>
        <s v="Customer_420"/>
        <s v="Customer_421"/>
        <s v="Customer_422"/>
        <s v="Customer_423"/>
        <s v="Customer_424"/>
        <s v="Customer_425"/>
        <s v="Customer_426"/>
        <s v="Customer_427"/>
        <s v="Customer_428"/>
        <s v="Customer_429"/>
        <s v="Customer_430"/>
        <s v="Customer_431"/>
        <s v="Customer_432"/>
        <s v="Customer_433"/>
        <s v="Customer_434"/>
        <s v="Customer_435"/>
        <s v="Customer_436"/>
        <s v="Customer_437"/>
        <s v="Customer_438"/>
        <s v="Customer_439"/>
        <s v="Customer_440"/>
        <s v="Customer_441"/>
        <s v="Customer_442"/>
        <s v="Customer_443"/>
        <s v="Customer_444"/>
        <s v="Customer_445"/>
        <s v="Customer_446"/>
        <s v="Customer_447"/>
        <s v="Customer_448"/>
        <s v="Customer_449"/>
        <s v="Customer_450"/>
        <s v="Customer_451"/>
        <s v="Customer_452"/>
        <s v="Customer_453"/>
        <s v="Customer_454"/>
        <s v="Customer_455"/>
        <s v="Customer_456"/>
        <s v="Customer_457"/>
        <s v="Customer_458"/>
        <s v="Customer_459"/>
        <s v="Customer_460"/>
        <s v="Customer_461"/>
        <s v="Customer_462"/>
        <s v="Customer_463"/>
        <s v="Customer_464"/>
        <s v="Customer_465"/>
        <s v="Customer_466"/>
        <s v="Customer_467"/>
        <s v="Customer_468"/>
        <s v="Customer_469"/>
        <s v="Customer_470"/>
        <s v="Customer_471"/>
        <s v="Customer_472"/>
        <s v="Customer_473"/>
        <s v="Customer_474"/>
        <s v="Customer_475"/>
        <s v="Customer_476"/>
        <s v="Customer_477"/>
        <s v="Customer_478"/>
        <s v="Customer_479"/>
        <s v="Customer_480"/>
        <s v="Customer_481"/>
        <s v="Customer_482"/>
        <s v="Customer_483"/>
        <s v="Customer_484"/>
        <s v="Customer_485"/>
        <s v="Customer_486"/>
        <s v="Customer_487"/>
        <s v="Customer_488"/>
        <s v="Customer_489"/>
        <s v="Customer_490"/>
        <s v="Customer_491"/>
        <s v="Customer_492"/>
        <s v="Customer_493"/>
        <s v="Customer_494"/>
        <s v="Customer_495"/>
        <s v="Customer_496"/>
        <s v="Customer_497"/>
        <s v="Customer_498"/>
        <s v="Customer_499"/>
        <s v="Customer_500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City" numFmtId="0">
      <sharedItems count="5">
        <s v="Chennai"/>
        <s v="Hyderabad"/>
        <s v="Visakhapatnam"/>
        <s v="Mumbai"/>
        <s v="Bangalore"/>
      </sharedItems>
    </cacheField>
    <cacheField name="Purchase_Date" numFmtId="14">
      <sharedItems containsSemiMixedTypes="0" containsNonDate="0" containsDate="1" containsString="0" minDate="2023-01-01T00:00:00" maxDate="2024-12-01T00:00:00"/>
    </cacheField>
    <cacheField name="Product" numFmtId="0">
      <sharedItems count="6">
        <s v="Mobile"/>
        <s v="Keyboard"/>
        <s v="Headphones"/>
        <s v="Laptop"/>
        <s v="Monitor"/>
        <s v="Tablet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minValue="555.17999999999995" maxValue="49993.85"/>
    </cacheField>
    <cacheField name="Payment_Mode" numFmtId="0">
      <sharedItems count="5">
        <s v="Cash on Delivery"/>
        <s v="Net Banking"/>
        <s v="Debit Card"/>
        <s v="Credit Card"/>
        <s v="UPI"/>
      </sharedItems>
    </cacheField>
    <cacheField name="total sale" numFmtId="0">
      <sharedItems containsSemiMixedTypes="0" containsString="0" containsNumber="1" minValue="711.12" maxValue="248262.9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001"/>
    <x v="0"/>
    <s v="FeMALE"/>
    <n v="50"/>
    <x v="0"/>
    <d v="2024-05-03T00:00:00"/>
    <x v="0"/>
    <s v="Accessories"/>
    <n v="2"/>
    <n v="7702.24"/>
    <x v="0"/>
    <n v="15404.48"/>
  </r>
  <r>
    <n v="1002"/>
    <x v="1"/>
    <s v="MALE"/>
    <n v="50"/>
    <x v="1"/>
    <d v="2023-08-03T00:00:00"/>
    <x v="1"/>
    <s v="Electronics"/>
    <n v="3"/>
    <n v="11931.61"/>
    <x v="1"/>
    <n v="35794.83"/>
  </r>
  <r>
    <n v="1003"/>
    <x v="2"/>
    <s v="MALE"/>
    <n v="33"/>
    <x v="1"/>
    <d v="2023-06-07T00:00:00"/>
    <x v="2"/>
    <s v="Gadgets"/>
    <n v="1"/>
    <n v="14675.67"/>
    <x v="1"/>
    <n v="14675.67"/>
  </r>
  <r>
    <n v="1004"/>
    <x v="3"/>
    <s v="FeMALE"/>
    <n v="54"/>
    <x v="1"/>
    <d v="2024-05-22T00:00:00"/>
    <x v="3"/>
    <s v="Accessories"/>
    <n v="3"/>
    <n v="41622.19"/>
    <x v="2"/>
    <n v="124866.57"/>
  </r>
  <r>
    <n v="1005"/>
    <x v="4"/>
    <s v="FeMALE"/>
    <n v="28"/>
    <x v="0"/>
    <d v="2024-03-13T00:00:00"/>
    <x v="1"/>
    <s v="Gadgets"/>
    <n v="1"/>
    <n v="8094.34"/>
    <x v="1"/>
    <n v="8094.34"/>
  </r>
  <r>
    <n v="1006"/>
    <x v="5"/>
    <s v="MALE"/>
    <n v="30"/>
    <x v="2"/>
    <d v="2024-06-25T00:00:00"/>
    <x v="4"/>
    <s v="Gadgets"/>
    <n v="2"/>
    <n v="27830.87"/>
    <x v="2"/>
    <n v="55661.74"/>
  </r>
  <r>
    <n v="1007"/>
    <x v="6"/>
    <s v="MALE"/>
    <n v="36"/>
    <x v="3"/>
    <d v="2024-07-04T00:00:00"/>
    <x v="1"/>
    <s v="Electronics"/>
    <n v="1"/>
    <n v="28622.92"/>
    <x v="1"/>
    <n v="28622.92"/>
  </r>
  <r>
    <n v="1008"/>
    <x v="7"/>
    <s v="FeMALE"/>
    <n v="48"/>
    <x v="3"/>
    <d v="2024-08-13T00:00:00"/>
    <x v="5"/>
    <s v="Accessories"/>
    <n v="4"/>
    <n v="17499.29"/>
    <x v="2"/>
    <n v="69997.16"/>
  </r>
  <r>
    <n v="1009"/>
    <x v="8"/>
    <s v="MALE"/>
    <n v="23"/>
    <x v="4"/>
    <d v="2024-05-19T00:00:00"/>
    <x v="3"/>
    <s v="Accessories"/>
    <n v="2"/>
    <n v="17855.55"/>
    <x v="3"/>
    <n v="35711.1"/>
  </r>
  <r>
    <n v="1010"/>
    <x v="9"/>
    <s v="FeMALE"/>
    <n v="34"/>
    <x v="4"/>
    <d v="2023-10-26T00:00:00"/>
    <x v="2"/>
    <s v="Accessories"/>
    <n v="3"/>
    <n v="47976.04"/>
    <x v="4"/>
    <n v="143928.12"/>
  </r>
  <r>
    <n v="1011"/>
    <x v="10"/>
    <s v="MALE"/>
    <n v="49"/>
    <x v="0"/>
    <d v="2023-08-17T00:00:00"/>
    <x v="2"/>
    <s v="Accessories"/>
    <n v="1"/>
    <n v="27890.53"/>
    <x v="1"/>
    <n v="27890.53"/>
  </r>
  <r>
    <n v="1012"/>
    <x v="11"/>
    <s v="Other"/>
    <n v="50"/>
    <x v="2"/>
    <d v="2023-03-10T00:00:00"/>
    <x v="5"/>
    <s v="Electronics"/>
    <n v="4"/>
    <n v="32810.19"/>
    <x v="0"/>
    <n v="131240.76"/>
  </r>
  <r>
    <n v="1013"/>
    <x v="12"/>
    <s v="FeMALE"/>
    <n v="61"/>
    <x v="0"/>
    <d v="2024-07-10T00:00:00"/>
    <x v="0"/>
    <s v="Accessories"/>
    <n v="4"/>
    <n v="24791.64"/>
    <x v="3"/>
    <n v="99166.56"/>
  </r>
  <r>
    <n v="1014"/>
    <x v="13"/>
    <s v="Other"/>
    <n v="62"/>
    <x v="3"/>
    <d v="2023-04-12T00:00:00"/>
    <x v="2"/>
    <s v="Accessories"/>
    <n v="5"/>
    <n v="32509.17"/>
    <x v="4"/>
    <n v="162545.84999999998"/>
  </r>
  <r>
    <n v="1015"/>
    <x v="14"/>
    <s v="MALE"/>
    <n v="49"/>
    <x v="3"/>
    <d v="2023-03-15T00:00:00"/>
    <x v="5"/>
    <s v="Electronics"/>
    <n v="1"/>
    <n v="30459.91"/>
    <x v="3"/>
    <n v="30459.91"/>
  </r>
  <r>
    <n v="1016"/>
    <x v="15"/>
    <s v="Other"/>
    <n v="61"/>
    <x v="1"/>
    <d v="2023-03-22T00:00:00"/>
    <x v="2"/>
    <s v="Gadgets"/>
    <n v="5"/>
    <n v="7686.08"/>
    <x v="3"/>
    <n v="38430.400000000001"/>
  </r>
  <r>
    <n v="1017"/>
    <x v="16"/>
    <s v="FeMALE"/>
    <n v="53"/>
    <x v="0"/>
    <d v="2023-02-05T00:00:00"/>
    <x v="2"/>
    <s v="Accessories"/>
    <n v="2"/>
    <n v="17066.689999999999"/>
    <x v="3"/>
    <n v="34133.379999999997"/>
  </r>
  <r>
    <n v="1018"/>
    <x v="17"/>
    <s v="Other"/>
    <n v="62"/>
    <x v="0"/>
    <d v="2023-08-19T00:00:00"/>
    <x v="3"/>
    <s v="Gadgets"/>
    <n v="2"/>
    <n v="23291.48"/>
    <x v="2"/>
    <n v="46582.96"/>
  </r>
  <r>
    <n v="1019"/>
    <x v="18"/>
    <s v="MALE"/>
    <n v="42"/>
    <x v="4"/>
    <d v="2024-04-01T00:00:00"/>
    <x v="0"/>
    <s v="Accessories"/>
    <n v="4"/>
    <n v="6827.17"/>
    <x v="4"/>
    <n v="27308.68"/>
  </r>
  <r>
    <n v="1020"/>
    <x v="19"/>
    <s v="MALE"/>
    <n v="33"/>
    <x v="1"/>
    <d v="2023-05-24T00:00:00"/>
    <x v="0"/>
    <s v="Gadgets"/>
    <n v="3"/>
    <n v="18472.13"/>
    <x v="0"/>
    <n v="55416.39"/>
  </r>
  <r>
    <n v="1021"/>
    <x v="20"/>
    <s v="Other"/>
    <n v="39"/>
    <x v="3"/>
    <d v="2023-02-09T00:00:00"/>
    <x v="1"/>
    <s v="Accessories"/>
    <n v="1"/>
    <n v="11793.01"/>
    <x v="0"/>
    <n v="11793.01"/>
  </r>
  <r>
    <n v="1022"/>
    <x v="21"/>
    <s v="MALE"/>
    <n v="37"/>
    <x v="4"/>
    <d v="2024-10-04T00:00:00"/>
    <x v="0"/>
    <s v="Accessories"/>
    <n v="1"/>
    <n v="42451.38"/>
    <x v="1"/>
    <n v="42451.38"/>
  </r>
  <r>
    <n v="1023"/>
    <x v="22"/>
    <s v="FeMALE"/>
    <n v="31"/>
    <x v="4"/>
    <d v="2024-09-17T00:00:00"/>
    <x v="4"/>
    <s v="Accessories"/>
    <n v="2"/>
    <n v="17402.97"/>
    <x v="1"/>
    <n v="34805.94"/>
  </r>
  <r>
    <n v="1024"/>
    <x v="23"/>
    <s v="Other"/>
    <n v="51"/>
    <x v="3"/>
    <d v="2024-02-24T00:00:00"/>
    <x v="4"/>
    <s v="Accessories"/>
    <n v="2"/>
    <n v="11726.07"/>
    <x v="4"/>
    <n v="23452.14"/>
  </r>
  <r>
    <n v="1025"/>
    <x v="24"/>
    <s v="Other"/>
    <n v="22"/>
    <x v="1"/>
    <d v="2023-01-16T00:00:00"/>
    <x v="0"/>
    <s v="Electronics"/>
    <n v="1"/>
    <n v="20704.98"/>
    <x v="1"/>
    <n v="20704.98"/>
  </r>
  <r>
    <n v="1026"/>
    <x v="25"/>
    <s v="MALE"/>
    <n v="57"/>
    <x v="2"/>
    <d v="2023-05-24T00:00:00"/>
    <x v="3"/>
    <s v="Gadgets"/>
    <n v="3"/>
    <n v="34311.67"/>
    <x v="2"/>
    <n v="102935.01"/>
  </r>
  <r>
    <n v="1027"/>
    <x v="26"/>
    <s v="FeMALE"/>
    <n v="21"/>
    <x v="0"/>
    <d v="2024-04-23T00:00:00"/>
    <x v="1"/>
    <s v="Gadgets"/>
    <n v="3"/>
    <n v="3748.29"/>
    <x v="4"/>
    <n v="11244.869999999999"/>
  </r>
  <r>
    <n v="1028"/>
    <x v="27"/>
    <s v="FeMALE"/>
    <n v="52"/>
    <x v="2"/>
    <d v="2024-08-01T00:00:00"/>
    <x v="5"/>
    <s v="Accessories"/>
    <n v="3"/>
    <n v="9446.1"/>
    <x v="1"/>
    <n v="28338.300000000003"/>
  </r>
  <r>
    <n v="1029"/>
    <x v="28"/>
    <s v="Other"/>
    <n v="52"/>
    <x v="4"/>
    <d v="2024-09-25T00:00:00"/>
    <x v="1"/>
    <s v="Gadgets"/>
    <n v="1"/>
    <n v="34868.19"/>
    <x v="2"/>
    <n v="34868.19"/>
  </r>
  <r>
    <n v="1030"/>
    <x v="29"/>
    <s v="MALE"/>
    <n v="60"/>
    <x v="0"/>
    <d v="2023-10-02T00:00:00"/>
    <x v="4"/>
    <s v="Electronics"/>
    <n v="4"/>
    <n v="37736.699999999997"/>
    <x v="0"/>
    <n v="150946.79999999999"/>
  </r>
  <r>
    <n v="1031"/>
    <x v="30"/>
    <s v="Other"/>
    <n v="32"/>
    <x v="4"/>
    <d v="2023-08-19T00:00:00"/>
    <x v="3"/>
    <s v="Gadgets"/>
    <n v="3"/>
    <n v="31078.84"/>
    <x v="1"/>
    <n v="93236.52"/>
  </r>
  <r>
    <n v="1032"/>
    <x v="31"/>
    <s v="FeMALE"/>
    <n v="36"/>
    <x v="1"/>
    <d v="2024-01-16T00:00:00"/>
    <x v="4"/>
    <s v="Gadgets"/>
    <n v="3"/>
    <n v="44020.33"/>
    <x v="3"/>
    <n v="132060.99"/>
  </r>
  <r>
    <n v="1033"/>
    <x v="32"/>
    <s v="FeMALE"/>
    <n v="56"/>
    <x v="4"/>
    <d v="2023-05-27T00:00:00"/>
    <x v="0"/>
    <s v="Electronics"/>
    <n v="4"/>
    <n v="8855.61"/>
    <x v="0"/>
    <n v="35422.44"/>
  </r>
  <r>
    <n v="1034"/>
    <x v="33"/>
    <s v="FeMALE"/>
    <n v="56"/>
    <x v="0"/>
    <d v="2024-10-27T00:00:00"/>
    <x v="0"/>
    <s v="Electronics"/>
    <n v="3"/>
    <n v="35325.61"/>
    <x v="1"/>
    <n v="105976.83"/>
  </r>
  <r>
    <n v="1035"/>
    <x v="34"/>
    <s v="FeMALE"/>
    <n v="35"/>
    <x v="4"/>
    <d v="2023-11-02T00:00:00"/>
    <x v="5"/>
    <s v="Gadgets"/>
    <n v="3"/>
    <n v="45904.38"/>
    <x v="2"/>
    <n v="137713.13999999998"/>
  </r>
  <r>
    <n v="1036"/>
    <x v="35"/>
    <s v="Other"/>
    <n v="23"/>
    <x v="2"/>
    <d v="2023-10-21T00:00:00"/>
    <x v="1"/>
    <s v="Accessories"/>
    <n v="2"/>
    <n v="7961.61"/>
    <x v="1"/>
    <n v="15923.22"/>
  </r>
  <r>
    <n v="1037"/>
    <x v="36"/>
    <s v="FeMALE"/>
    <n v="56"/>
    <x v="2"/>
    <d v="2024-06-16T00:00:00"/>
    <x v="3"/>
    <s v="Accessories"/>
    <n v="4"/>
    <n v="12566.32"/>
    <x v="3"/>
    <n v="50265.279999999999"/>
  </r>
  <r>
    <n v="1038"/>
    <x v="37"/>
    <s v="FeMALE"/>
    <n v="45"/>
    <x v="3"/>
    <d v="2023-10-24T00:00:00"/>
    <x v="3"/>
    <s v="Electronics"/>
    <n v="5"/>
    <n v="27560.89"/>
    <x v="2"/>
    <n v="137804.45000000001"/>
  </r>
  <r>
    <n v="1039"/>
    <x v="38"/>
    <s v="MALE"/>
    <n v="26"/>
    <x v="2"/>
    <d v="2023-11-05T00:00:00"/>
    <x v="3"/>
    <s v="Electronics"/>
    <n v="5"/>
    <n v="17533.91"/>
    <x v="0"/>
    <n v="87669.55"/>
  </r>
  <r>
    <n v="1040"/>
    <x v="39"/>
    <s v="MALE"/>
    <n v="58"/>
    <x v="0"/>
    <d v="2023-08-27T00:00:00"/>
    <x v="3"/>
    <s v="Electronics"/>
    <n v="3"/>
    <n v="34686.629999999997"/>
    <x v="2"/>
    <n v="104059.88999999998"/>
  </r>
  <r>
    <n v="1041"/>
    <x v="40"/>
    <s v="FeMALE"/>
    <n v="23"/>
    <x v="0"/>
    <d v="2024-02-12T00:00:00"/>
    <x v="5"/>
    <s v="Electronics"/>
    <n v="5"/>
    <n v="3349.6"/>
    <x v="4"/>
    <n v="16748"/>
  </r>
  <r>
    <n v="1042"/>
    <x v="41"/>
    <s v="MALE"/>
    <n v="23"/>
    <x v="2"/>
    <d v="2024-06-14T00:00:00"/>
    <x v="3"/>
    <s v="Gadgets"/>
    <n v="3"/>
    <n v="8457.83"/>
    <x v="3"/>
    <n v="25373.489999999998"/>
  </r>
  <r>
    <n v="1043"/>
    <x v="42"/>
    <s v="MALE"/>
    <n v="25"/>
    <x v="4"/>
    <d v="2023-06-29T00:00:00"/>
    <x v="4"/>
    <s v="Accessories"/>
    <n v="5"/>
    <n v="35953.800000000003"/>
    <x v="1"/>
    <n v="179769"/>
  </r>
  <r>
    <n v="1044"/>
    <x v="43"/>
    <s v="FeMALE"/>
    <n v="32"/>
    <x v="0"/>
    <d v="2023-10-21T00:00:00"/>
    <x v="4"/>
    <s v="Gadgets"/>
    <n v="1"/>
    <n v="48545.63"/>
    <x v="4"/>
    <n v="48545.63"/>
  </r>
  <r>
    <n v="1045"/>
    <x v="44"/>
    <s v="Other"/>
    <n v="55"/>
    <x v="4"/>
    <d v="2023-01-31T00:00:00"/>
    <x v="4"/>
    <s v="Electronics"/>
    <n v="3"/>
    <n v="46512.74"/>
    <x v="0"/>
    <n v="139538.22"/>
  </r>
  <r>
    <n v="1046"/>
    <x v="45"/>
    <s v="FeMALE"/>
    <n v="59"/>
    <x v="3"/>
    <d v="2023-10-24T00:00:00"/>
    <x v="2"/>
    <s v="Electronics"/>
    <n v="5"/>
    <n v="45102.82"/>
    <x v="4"/>
    <n v="225514.1"/>
  </r>
  <r>
    <n v="1047"/>
    <x v="46"/>
    <s v="MALE"/>
    <n v="32"/>
    <x v="1"/>
    <d v="2024-03-10T00:00:00"/>
    <x v="4"/>
    <s v="Electronics"/>
    <n v="1"/>
    <n v="6823.29"/>
    <x v="2"/>
    <n v="6823.29"/>
  </r>
  <r>
    <n v="1048"/>
    <x v="47"/>
    <s v="Other"/>
    <n v="51"/>
    <x v="4"/>
    <d v="2023-11-21T00:00:00"/>
    <x v="0"/>
    <s v="Accessories"/>
    <n v="3"/>
    <n v="7723.48"/>
    <x v="3"/>
    <n v="23170.44"/>
  </r>
  <r>
    <n v="1049"/>
    <x v="48"/>
    <s v="Other"/>
    <n v="45"/>
    <x v="0"/>
    <d v="2023-12-03T00:00:00"/>
    <x v="2"/>
    <s v="Gadgets"/>
    <n v="4"/>
    <n v="4077.11"/>
    <x v="0"/>
    <n v="16308.44"/>
  </r>
  <r>
    <n v="1050"/>
    <x v="49"/>
    <s v="FeMALE"/>
    <n v="31"/>
    <x v="3"/>
    <d v="2024-02-04T00:00:00"/>
    <x v="2"/>
    <s v="Accessories"/>
    <n v="4"/>
    <n v="27355.74"/>
    <x v="4"/>
    <n v="109422.96"/>
  </r>
  <r>
    <n v="1051"/>
    <x v="50"/>
    <s v="FeMALE"/>
    <n v="48"/>
    <x v="1"/>
    <d v="2023-04-26T00:00:00"/>
    <x v="5"/>
    <s v="Accessories"/>
    <n v="4"/>
    <n v="44183.07"/>
    <x v="2"/>
    <n v="176732.28"/>
  </r>
  <r>
    <n v="1052"/>
    <x v="51"/>
    <s v="FeMALE"/>
    <n v="61"/>
    <x v="0"/>
    <d v="2023-08-08T00:00:00"/>
    <x v="4"/>
    <s v="Electronics"/>
    <n v="3"/>
    <n v="26823.7"/>
    <x v="3"/>
    <n v="80471.100000000006"/>
  </r>
  <r>
    <n v="1053"/>
    <x v="52"/>
    <s v="MALE"/>
    <n v="64"/>
    <x v="4"/>
    <d v="2023-12-28T00:00:00"/>
    <x v="0"/>
    <s v="Accessories"/>
    <n v="2"/>
    <n v="39194.910000000003"/>
    <x v="4"/>
    <n v="78389.820000000007"/>
  </r>
  <r>
    <n v="1054"/>
    <x v="53"/>
    <s v="MALE"/>
    <n v="27"/>
    <x v="1"/>
    <d v="2024-03-14T00:00:00"/>
    <x v="5"/>
    <s v="Accessories"/>
    <n v="5"/>
    <n v="9828.4599999999991"/>
    <x v="0"/>
    <n v="49142.299999999996"/>
  </r>
  <r>
    <n v="1055"/>
    <x v="54"/>
    <s v="FeMALE"/>
    <n v="21"/>
    <x v="0"/>
    <d v="2023-09-20T00:00:00"/>
    <x v="2"/>
    <s v="Accessories"/>
    <n v="1"/>
    <n v="43224.01"/>
    <x v="1"/>
    <n v="43224.01"/>
  </r>
  <r>
    <n v="1056"/>
    <x v="55"/>
    <s v="MALE"/>
    <n v="21"/>
    <x v="1"/>
    <d v="2024-06-20T00:00:00"/>
    <x v="1"/>
    <s v="Electronics"/>
    <n v="4"/>
    <n v="9777.5300000000007"/>
    <x v="3"/>
    <n v="39110.120000000003"/>
  </r>
  <r>
    <n v="1057"/>
    <x v="56"/>
    <s v="Other"/>
    <n v="21"/>
    <x v="3"/>
    <d v="2024-05-27T00:00:00"/>
    <x v="1"/>
    <s v="Electronics"/>
    <n v="3"/>
    <n v="3210.82"/>
    <x v="0"/>
    <n v="9632.4600000000009"/>
  </r>
  <r>
    <n v="1058"/>
    <x v="57"/>
    <s v="MALE"/>
    <n v="51"/>
    <x v="4"/>
    <d v="2024-05-19T00:00:00"/>
    <x v="3"/>
    <s v="Electronics"/>
    <n v="5"/>
    <n v="21363.81"/>
    <x v="1"/>
    <n v="106819.05"/>
  </r>
  <r>
    <n v="1059"/>
    <x v="58"/>
    <s v="MALE"/>
    <n v="53"/>
    <x v="2"/>
    <d v="2023-06-26T00:00:00"/>
    <x v="2"/>
    <s v="Gadgets"/>
    <n v="4"/>
    <n v="27977.67"/>
    <x v="3"/>
    <n v="111910.68"/>
  </r>
  <r>
    <n v="1060"/>
    <x v="59"/>
    <s v="FeMALE"/>
    <n v="34"/>
    <x v="0"/>
    <d v="2023-09-03T00:00:00"/>
    <x v="3"/>
    <s v="Electronics"/>
    <n v="3"/>
    <n v="48551.73"/>
    <x v="1"/>
    <n v="145655.19"/>
  </r>
  <r>
    <n v="1061"/>
    <x v="60"/>
    <s v="FeMALE"/>
    <n v="46"/>
    <x v="0"/>
    <d v="2024-04-17T00:00:00"/>
    <x v="5"/>
    <s v="Electronics"/>
    <n v="4"/>
    <n v="5041.8100000000004"/>
    <x v="4"/>
    <n v="20167.240000000002"/>
  </r>
  <r>
    <n v="1062"/>
    <x v="61"/>
    <s v="Other"/>
    <n v="55"/>
    <x v="4"/>
    <d v="2024-01-21T00:00:00"/>
    <x v="0"/>
    <s v="Accessories"/>
    <n v="4"/>
    <n v="14058.95"/>
    <x v="0"/>
    <n v="56235.8"/>
  </r>
  <r>
    <n v="1063"/>
    <x v="62"/>
    <s v="MALE"/>
    <n v="18"/>
    <x v="3"/>
    <d v="2024-04-02T00:00:00"/>
    <x v="2"/>
    <s v="Gadgets"/>
    <n v="5"/>
    <n v="5702.8"/>
    <x v="0"/>
    <n v="28514"/>
  </r>
  <r>
    <n v="1064"/>
    <x v="63"/>
    <s v="MALE"/>
    <n v="55"/>
    <x v="4"/>
    <d v="2024-06-17T00:00:00"/>
    <x v="5"/>
    <s v="Electronics"/>
    <n v="4"/>
    <n v="19826.759999999998"/>
    <x v="1"/>
    <n v="79307.039999999994"/>
  </r>
  <r>
    <n v="1065"/>
    <x v="64"/>
    <s v="FeMALE"/>
    <n v="47"/>
    <x v="3"/>
    <d v="2023-01-01T00:00:00"/>
    <x v="3"/>
    <s v="Accessories"/>
    <n v="4"/>
    <n v="14806.05"/>
    <x v="3"/>
    <n v="59224.2"/>
  </r>
  <r>
    <n v="1066"/>
    <x v="65"/>
    <s v="Other"/>
    <n v="36"/>
    <x v="1"/>
    <d v="2024-08-11T00:00:00"/>
    <x v="1"/>
    <s v="Electronics"/>
    <n v="4"/>
    <n v="25908.37"/>
    <x v="1"/>
    <n v="103633.48"/>
  </r>
  <r>
    <n v="1067"/>
    <x v="66"/>
    <s v="Other"/>
    <n v="32"/>
    <x v="0"/>
    <d v="2024-02-21T00:00:00"/>
    <x v="0"/>
    <s v="Accessories"/>
    <n v="5"/>
    <n v="17738.71"/>
    <x v="2"/>
    <n v="88693.549999999988"/>
  </r>
  <r>
    <n v="1068"/>
    <x v="67"/>
    <s v="FeMALE"/>
    <n v="57"/>
    <x v="0"/>
    <d v="2024-02-29T00:00:00"/>
    <x v="0"/>
    <s v="Gadgets"/>
    <n v="2"/>
    <n v="46447.29"/>
    <x v="1"/>
    <n v="92894.58"/>
  </r>
  <r>
    <n v="1069"/>
    <x v="68"/>
    <s v="MALE"/>
    <n v="24"/>
    <x v="3"/>
    <d v="2023-03-25T00:00:00"/>
    <x v="0"/>
    <s v="Accessories"/>
    <n v="5"/>
    <n v="39602.42"/>
    <x v="0"/>
    <n v="198012.09999999998"/>
  </r>
  <r>
    <n v="1070"/>
    <x v="69"/>
    <s v="Other"/>
    <n v="46"/>
    <x v="4"/>
    <d v="2023-10-14T00:00:00"/>
    <x v="5"/>
    <s v="Accessories"/>
    <n v="4"/>
    <n v="43120.06"/>
    <x v="0"/>
    <n v="172480.24"/>
  </r>
  <r>
    <n v="1071"/>
    <x v="70"/>
    <s v="FeMALE"/>
    <n v="28"/>
    <x v="2"/>
    <d v="2023-12-10T00:00:00"/>
    <x v="1"/>
    <s v="Gadgets"/>
    <n v="1"/>
    <n v="6910.3"/>
    <x v="1"/>
    <n v="6910.3"/>
  </r>
  <r>
    <n v="1072"/>
    <x v="71"/>
    <s v="Other"/>
    <n v="50"/>
    <x v="0"/>
    <d v="2024-03-13T00:00:00"/>
    <x v="0"/>
    <s v="Accessories"/>
    <n v="2"/>
    <n v="28965.97"/>
    <x v="0"/>
    <n v="57931.94"/>
  </r>
  <r>
    <n v="1073"/>
    <x v="72"/>
    <s v="FeMALE"/>
    <n v="64"/>
    <x v="0"/>
    <d v="2024-06-18T00:00:00"/>
    <x v="2"/>
    <s v="Accessories"/>
    <n v="5"/>
    <n v="11131.74"/>
    <x v="4"/>
    <n v="55658.7"/>
  </r>
  <r>
    <n v="1074"/>
    <x v="73"/>
    <s v="MALE"/>
    <n v="47"/>
    <x v="4"/>
    <d v="2024-10-05T00:00:00"/>
    <x v="4"/>
    <s v="Electronics"/>
    <n v="2"/>
    <n v="43477.81"/>
    <x v="2"/>
    <n v="86955.62"/>
  </r>
  <r>
    <n v="1075"/>
    <x v="74"/>
    <s v="FeMALE"/>
    <n v="36"/>
    <x v="4"/>
    <d v="2024-06-30T00:00:00"/>
    <x v="0"/>
    <s v="Accessories"/>
    <n v="3"/>
    <n v="1243.46"/>
    <x v="0"/>
    <n v="3730.38"/>
  </r>
  <r>
    <n v="1076"/>
    <x v="75"/>
    <s v="FeMALE"/>
    <n v="54"/>
    <x v="3"/>
    <d v="2023-02-19T00:00:00"/>
    <x v="4"/>
    <s v="Electronics"/>
    <n v="1"/>
    <n v="5734.34"/>
    <x v="2"/>
    <n v="5734.34"/>
  </r>
  <r>
    <n v="1077"/>
    <x v="76"/>
    <s v="Other"/>
    <n v="47"/>
    <x v="0"/>
    <d v="2023-03-30T00:00:00"/>
    <x v="4"/>
    <s v="Gadgets"/>
    <n v="1"/>
    <n v="19114.830000000002"/>
    <x v="2"/>
    <n v="19114.830000000002"/>
  </r>
  <r>
    <n v="1078"/>
    <x v="77"/>
    <s v="MALE"/>
    <n v="57"/>
    <x v="0"/>
    <d v="2024-11-08T00:00:00"/>
    <x v="4"/>
    <s v="Accessories"/>
    <n v="4"/>
    <n v="20403.650000000001"/>
    <x v="3"/>
    <n v="81614.600000000006"/>
  </r>
  <r>
    <n v="1079"/>
    <x v="78"/>
    <s v="MALE"/>
    <n v="46"/>
    <x v="3"/>
    <d v="2024-05-21T00:00:00"/>
    <x v="5"/>
    <s v="Electronics"/>
    <n v="4"/>
    <n v="14222.39"/>
    <x v="0"/>
    <n v="56889.56"/>
  </r>
  <r>
    <n v="1080"/>
    <x v="79"/>
    <s v="Other"/>
    <n v="47"/>
    <x v="0"/>
    <d v="2024-05-20T00:00:00"/>
    <x v="2"/>
    <s v="Accessories"/>
    <n v="4"/>
    <n v="5255.12"/>
    <x v="3"/>
    <n v="21020.48"/>
  </r>
  <r>
    <n v="1081"/>
    <x v="80"/>
    <s v="Other"/>
    <n v="57"/>
    <x v="3"/>
    <d v="2024-10-14T00:00:00"/>
    <x v="5"/>
    <s v="Electronics"/>
    <n v="5"/>
    <n v="6377.16"/>
    <x v="2"/>
    <n v="31885.8"/>
  </r>
  <r>
    <n v="1082"/>
    <x v="81"/>
    <s v="FeMALE"/>
    <n v="44"/>
    <x v="0"/>
    <d v="2024-05-21T00:00:00"/>
    <x v="0"/>
    <s v="Electronics"/>
    <n v="3"/>
    <n v="16238.27"/>
    <x v="1"/>
    <n v="48714.81"/>
  </r>
  <r>
    <n v="1083"/>
    <x v="82"/>
    <s v="MALE"/>
    <n v="45"/>
    <x v="2"/>
    <d v="2024-06-02T00:00:00"/>
    <x v="1"/>
    <s v="Gadgets"/>
    <n v="3"/>
    <n v="47564.25"/>
    <x v="2"/>
    <n v="142692.75"/>
  </r>
  <r>
    <n v="1084"/>
    <x v="83"/>
    <s v="Other"/>
    <n v="60"/>
    <x v="2"/>
    <d v="2024-08-27T00:00:00"/>
    <x v="5"/>
    <s v="Electronics"/>
    <n v="5"/>
    <n v="10766.62"/>
    <x v="3"/>
    <n v="53833.100000000006"/>
  </r>
  <r>
    <n v="1085"/>
    <x v="84"/>
    <s v="Other"/>
    <n v="30"/>
    <x v="0"/>
    <d v="2023-09-17T00:00:00"/>
    <x v="1"/>
    <s v="Electronics"/>
    <n v="5"/>
    <n v="37490.379999999997"/>
    <x v="4"/>
    <n v="187451.9"/>
  </r>
  <r>
    <n v="1086"/>
    <x v="85"/>
    <s v="Other"/>
    <n v="35"/>
    <x v="3"/>
    <d v="2023-09-10T00:00:00"/>
    <x v="1"/>
    <s v="Accessories"/>
    <n v="4"/>
    <n v="13280.34"/>
    <x v="3"/>
    <n v="53121.36"/>
  </r>
  <r>
    <n v="1087"/>
    <x v="86"/>
    <s v="MALE"/>
    <n v="25"/>
    <x v="4"/>
    <d v="2023-10-16T00:00:00"/>
    <x v="5"/>
    <s v="Electronics"/>
    <n v="1"/>
    <n v="2343.39"/>
    <x v="0"/>
    <n v="2343.39"/>
  </r>
  <r>
    <n v="1088"/>
    <x v="87"/>
    <s v="MALE"/>
    <n v="45"/>
    <x v="2"/>
    <d v="2024-11-15T00:00:00"/>
    <x v="2"/>
    <s v="Accessories"/>
    <n v="3"/>
    <n v="1294.58"/>
    <x v="1"/>
    <n v="3883.74"/>
  </r>
  <r>
    <n v="1089"/>
    <x v="88"/>
    <s v="FeMALE"/>
    <n v="25"/>
    <x v="3"/>
    <d v="2023-06-07T00:00:00"/>
    <x v="1"/>
    <s v="Accessories"/>
    <n v="3"/>
    <n v="8058.94"/>
    <x v="1"/>
    <n v="24176.82"/>
  </r>
  <r>
    <n v="1090"/>
    <x v="89"/>
    <s v="FeMALE"/>
    <n v="37"/>
    <x v="4"/>
    <d v="2023-10-30T00:00:00"/>
    <x v="0"/>
    <s v="Electronics"/>
    <n v="3"/>
    <n v="23373.17"/>
    <x v="1"/>
    <n v="70119.509999999995"/>
  </r>
  <r>
    <n v="1091"/>
    <x v="90"/>
    <s v="FeMALE"/>
    <n v="50"/>
    <x v="3"/>
    <d v="2024-05-18T00:00:00"/>
    <x v="0"/>
    <s v="Gadgets"/>
    <n v="3"/>
    <n v="37917.1"/>
    <x v="3"/>
    <n v="113751.29999999999"/>
  </r>
  <r>
    <n v="1092"/>
    <x v="91"/>
    <s v="MALE"/>
    <n v="30"/>
    <x v="3"/>
    <d v="2024-03-27T00:00:00"/>
    <x v="3"/>
    <s v="Gadgets"/>
    <n v="3"/>
    <n v="36576.339999999997"/>
    <x v="0"/>
    <n v="109729.01999999999"/>
  </r>
  <r>
    <n v="1093"/>
    <x v="92"/>
    <s v="MALE"/>
    <n v="56"/>
    <x v="1"/>
    <d v="2023-11-19T00:00:00"/>
    <x v="5"/>
    <s v="Accessories"/>
    <n v="3"/>
    <n v="17943.28"/>
    <x v="4"/>
    <n v="53829.84"/>
  </r>
  <r>
    <n v="1094"/>
    <x v="93"/>
    <s v="FeMALE"/>
    <n v="50"/>
    <x v="2"/>
    <d v="2023-01-29T00:00:00"/>
    <x v="4"/>
    <s v="Accessories"/>
    <n v="1"/>
    <n v="24217.39"/>
    <x v="1"/>
    <n v="24217.39"/>
  </r>
  <r>
    <n v="1095"/>
    <x v="94"/>
    <s v="FeMALE"/>
    <n v="48"/>
    <x v="4"/>
    <d v="2024-01-16T00:00:00"/>
    <x v="4"/>
    <s v="Electronics"/>
    <n v="2"/>
    <n v="40796.65"/>
    <x v="3"/>
    <n v="81593.3"/>
  </r>
  <r>
    <n v="1096"/>
    <x v="95"/>
    <s v="Other"/>
    <n v="40"/>
    <x v="4"/>
    <d v="2024-03-17T00:00:00"/>
    <x v="1"/>
    <s v="Gadgets"/>
    <n v="4"/>
    <n v="42000.94"/>
    <x v="1"/>
    <n v="168003.76"/>
  </r>
  <r>
    <n v="1097"/>
    <x v="96"/>
    <s v="MALE"/>
    <n v="23"/>
    <x v="0"/>
    <d v="2023-03-26T00:00:00"/>
    <x v="0"/>
    <s v="Gadgets"/>
    <n v="2"/>
    <n v="16335.88"/>
    <x v="1"/>
    <n v="32671.759999999998"/>
  </r>
  <r>
    <n v="1098"/>
    <x v="97"/>
    <s v="FeMALE"/>
    <n v="45"/>
    <x v="4"/>
    <d v="2024-08-28T00:00:00"/>
    <x v="0"/>
    <s v="Gadgets"/>
    <n v="1"/>
    <n v="711.12"/>
    <x v="0"/>
    <n v="711.12"/>
  </r>
  <r>
    <n v="1099"/>
    <x v="98"/>
    <s v="Other"/>
    <n v="49"/>
    <x v="2"/>
    <d v="2023-10-04T00:00:00"/>
    <x v="4"/>
    <s v="Accessories"/>
    <n v="2"/>
    <n v="2823.08"/>
    <x v="0"/>
    <n v="5646.16"/>
  </r>
  <r>
    <n v="1100"/>
    <x v="99"/>
    <s v="Other"/>
    <n v="59"/>
    <x v="1"/>
    <d v="2023-06-09T00:00:00"/>
    <x v="5"/>
    <s v="Accessories"/>
    <n v="5"/>
    <n v="37021.47"/>
    <x v="1"/>
    <n v="185107.35"/>
  </r>
  <r>
    <n v="1101"/>
    <x v="100"/>
    <s v="MALE"/>
    <n v="40"/>
    <x v="3"/>
    <d v="2023-10-09T00:00:00"/>
    <x v="0"/>
    <s v="Electronics"/>
    <n v="5"/>
    <n v="13995.3"/>
    <x v="2"/>
    <n v="69976.5"/>
  </r>
  <r>
    <n v="1102"/>
    <x v="101"/>
    <s v="FeMALE"/>
    <n v="30"/>
    <x v="3"/>
    <d v="2023-08-22T00:00:00"/>
    <x v="5"/>
    <s v="Gadgets"/>
    <n v="5"/>
    <n v="24333.55"/>
    <x v="0"/>
    <n v="121667.75"/>
  </r>
  <r>
    <n v="1103"/>
    <x v="102"/>
    <s v="FeMALE"/>
    <n v="63"/>
    <x v="2"/>
    <d v="2023-11-16T00:00:00"/>
    <x v="0"/>
    <s v="Electronics"/>
    <n v="3"/>
    <n v="10005.549999999999"/>
    <x v="4"/>
    <n v="30016.649999999998"/>
  </r>
  <r>
    <n v="1104"/>
    <x v="103"/>
    <s v="MALE"/>
    <n v="40"/>
    <x v="4"/>
    <d v="2023-03-01T00:00:00"/>
    <x v="0"/>
    <s v="Gadgets"/>
    <n v="2"/>
    <n v="42432.09"/>
    <x v="2"/>
    <n v="84864.18"/>
  </r>
  <r>
    <n v="1105"/>
    <x v="104"/>
    <s v="MALE"/>
    <n v="56"/>
    <x v="1"/>
    <d v="2023-08-27T00:00:00"/>
    <x v="2"/>
    <s v="Accessories"/>
    <n v="2"/>
    <n v="25417.19"/>
    <x v="4"/>
    <n v="50834.38"/>
  </r>
  <r>
    <n v="1106"/>
    <x v="105"/>
    <s v="MALE"/>
    <n v="36"/>
    <x v="3"/>
    <d v="2023-09-06T00:00:00"/>
    <x v="2"/>
    <s v="Accessories"/>
    <n v="4"/>
    <n v="26594.43"/>
    <x v="1"/>
    <n v="106377.72"/>
  </r>
  <r>
    <n v="1107"/>
    <x v="106"/>
    <s v="Other"/>
    <n v="47"/>
    <x v="3"/>
    <d v="2024-06-13T00:00:00"/>
    <x v="5"/>
    <s v="Gadgets"/>
    <n v="1"/>
    <n v="14759.94"/>
    <x v="1"/>
    <n v="14759.94"/>
  </r>
  <r>
    <n v="1108"/>
    <x v="107"/>
    <s v="MALE"/>
    <n v="47"/>
    <x v="1"/>
    <d v="2024-01-17T00:00:00"/>
    <x v="1"/>
    <s v="Accessories"/>
    <n v="3"/>
    <n v="25843.96"/>
    <x v="0"/>
    <n v="77531.88"/>
  </r>
  <r>
    <n v="1109"/>
    <x v="108"/>
    <s v="FeMALE"/>
    <n v="36"/>
    <x v="1"/>
    <d v="2024-10-24T00:00:00"/>
    <x v="3"/>
    <s v="Accessories"/>
    <n v="3"/>
    <n v="597.20000000000005"/>
    <x v="4"/>
    <n v="1791.6000000000001"/>
  </r>
  <r>
    <n v="1110"/>
    <x v="109"/>
    <s v="MALE"/>
    <n v="49"/>
    <x v="4"/>
    <d v="2023-09-27T00:00:00"/>
    <x v="2"/>
    <s v="Accessories"/>
    <n v="5"/>
    <n v="14226.1"/>
    <x v="4"/>
    <n v="71130.5"/>
  </r>
  <r>
    <n v="1111"/>
    <x v="110"/>
    <s v="FeMALE"/>
    <n v="52"/>
    <x v="3"/>
    <d v="2024-06-26T00:00:00"/>
    <x v="2"/>
    <s v="Gadgets"/>
    <n v="1"/>
    <n v="17763.77"/>
    <x v="0"/>
    <n v="17763.77"/>
  </r>
  <r>
    <n v="1112"/>
    <x v="111"/>
    <s v="MALE"/>
    <n v="37"/>
    <x v="4"/>
    <d v="2024-02-12T00:00:00"/>
    <x v="1"/>
    <s v="Gadgets"/>
    <n v="3"/>
    <n v="14555.57"/>
    <x v="1"/>
    <n v="43666.71"/>
  </r>
  <r>
    <n v="1113"/>
    <x v="112"/>
    <s v="MALE"/>
    <n v="47"/>
    <x v="4"/>
    <d v="2023-12-23T00:00:00"/>
    <x v="0"/>
    <s v="Accessories"/>
    <n v="3"/>
    <n v="4754.6400000000003"/>
    <x v="0"/>
    <n v="14263.920000000002"/>
  </r>
  <r>
    <n v="1114"/>
    <x v="113"/>
    <s v="Other"/>
    <n v="63"/>
    <x v="3"/>
    <d v="2024-10-23T00:00:00"/>
    <x v="3"/>
    <s v="Accessories"/>
    <n v="5"/>
    <n v="26328.17"/>
    <x v="4"/>
    <n v="131640.84999999998"/>
  </r>
  <r>
    <n v="1115"/>
    <x v="114"/>
    <s v="MALE"/>
    <n v="61"/>
    <x v="3"/>
    <d v="2023-03-13T00:00:00"/>
    <x v="3"/>
    <s v="Accessories"/>
    <n v="5"/>
    <n v="39529.72"/>
    <x v="3"/>
    <n v="197648.6"/>
  </r>
  <r>
    <n v="1116"/>
    <x v="115"/>
    <s v="FeMALE"/>
    <n v="40"/>
    <x v="2"/>
    <d v="2024-05-30T00:00:00"/>
    <x v="2"/>
    <s v="Electronics"/>
    <n v="1"/>
    <n v="47158.62"/>
    <x v="4"/>
    <n v="47158.62"/>
  </r>
  <r>
    <n v="1117"/>
    <x v="116"/>
    <s v="Other"/>
    <n v="33"/>
    <x v="0"/>
    <d v="2024-10-25T00:00:00"/>
    <x v="4"/>
    <s v="Electronics"/>
    <n v="2"/>
    <n v="25115.84"/>
    <x v="4"/>
    <n v="50231.68"/>
  </r>
  <r>
    <n v="1118"/>
    <x v="117"/>
    <s v="MALE"/>
    <n v="25"/>
    <x v="4"/>
    <d v="2024-06-03T00:00:00"/>
    <x v="1"/>
    <s v="Electronics"/>
    <n v="1"/>
    <n v="29890.82"/>
    <x v="2"/>
    <n v="29890.82"/>
  </r>
  <r>
    <n v="1119"/>
    <x v="118"/>
    <s v="FeMALE"/>
    <n v="46"/>
    <x v="3"/>
    <d v="2024-05-04T00:00:00"/>
    <x v="3"/>
    <s v="Gadgets"/>
    <n v="3"/>
    <n v="14897.57"/>
    <x v="2"/>
    <n v="44692.71"/>
  </r>
  <r>
    <n v="1120"/>
    <x v="119"/>
    <s v="FeMALE"/>
    <n v="37"/>
    <x v="4"/>
    <d v="2023-11-05T00:00:00"/>
    <x v="2"/>
    <s v="Gadgets"/>
    <n v="3"/>
    <n v="7883.4"/>
    <x v="2"/>
    <n v="23650.199999999997"/>
  </r>
  <r>
    <n v="1121"/>
    <x v="120"/>
    <s v="MALE"/>
    <n v="45"/>
    <x v="3"/>
    <d v="2024-06-26T00:00:00"/>
    <x v="4"/>
    <s v="Accessories"/>
    <n v="1"/>
    <n v="7027.65"/>
    <x v="1"/>
    <n v="7027.65"/>
  </r>
  <r>
    <n v="1122"/>
    <x v="121"/>
    <s v="Other"/>
    <n v="61"/>
    <x v="3"/>
    <d v="2023-04-14T00:00:00"/>
    <x v="4"/>
    <s v="Electronics"/>
    <n v="2"/>
    <n v="36751.86"/>
    <x v="4"/>
    <n v="73503.72"/>
  </r>
  <r>
    <n v="1123"/>
    <x v="122"/>
    <s v="MALE"/>
    <n v="37"/>
    <x v="3"/>
    <d v="2023-12-19T00:00:00"/>
    <x v="4"/>
    <s v="Electronics"/>
    <n v="2"/>
    <n v="36856.239999999998"/>
    <x v="2"/>
    <n v="73712.479999999996"/>
  </r>
  <r>
    <n v="1124"/>
    <x v="123"/>
    <s v="MALE"/>
    <n v="33"/>
    <x v="0"/>
    <d v="2024-08-19T00:00:00"/>
    <x v="5"/>
    <s v="Gadgets"/>
    <n v="2"/>
    <n v="9377.83"/>
    <x v="0"/>
    <n v="18755.66"/>
  </r>
  <r>
    <n v="1125"/>
    <x v="124"/>
    <s v="MALE"/>
    <n v="24"/>
    <x v="4"/>
    <d v="2023-03-15T00:00:00"/>
    <x v="3"/>
    <s v="Gadgets"/>
    <n v="3"/>
    <n v="20971.240000000002"/>
    <x v="3"/>
    <n v="62913.72"/>
  </r>
  <r>
    <n v="1126"/>
    <x v="125"/>
    <s v="MALE"/>
    <n v="42"/>
    <x v="2"/>
    <d v="2023-06-17T00:00:00"/>
    <x v="5"/>
    <s v="Accessories"/>
    <n v="4"/>
    <n v="29910.14"/>
    <x v="4"/>
    <n v="119640.56"/>
  </r>
  <r>
    <n v="1127"/>
    <x v="126"/>
    <s v="FeMALE"/>
    <n v="40"/>
    <x v="3"/>
    <d v="2023-07-08T00:00:00"/>
    <x v="1"/>
    <s v="Accessories"/>
    <n v="4"/>
    <n v="6701.46"/>
    <x v="2"/>
    <n v="26805.84"/>
  </r>
  <r>
    <n v="1128"/>
    <x v="127"/>
    <s v="Other"/>
    <n v="29"/>
    <x v="0"/>
    <d v="2024-09-22T00:00:00"/>
    <x v="5"/>
    <s v="Accessories"/>
    <n v="3"/>
    <n v="39375.760000000002"/>
    <x v="1"/>
    <n v="118127.28"/>
  </r>
  <r>
    <n v="1129"/>
    <x v="128"/>
    <s v="MALE"/>
    <n v="55"/>
    <x v="0"/>
    <d v="2024-05-24T00:00:00"/>
    <x v="1"/>
    <s v="Accessories"/>
    <n v="1"/>
    <n v="31189.61"/>
    <x v="4"/>
    <n v="31189.61"/>
  </r>
  <r>
    <n v="1130"/>
    <x v="129"/>
    <s v="FeMALE"/>
    <n v="19"/>
    <x v="3"/>
    <d v="2024-07-31T00:00:00"/>
    <x v="3"/>
    <s v="Accessories"/>
    <n v="1"/>
    <n v="30953.47"/>
    <x v="2"/>
    <n v="30953.47"/>
  </r>
  <r>
    <n v="1131"/>
    <x v="130"/>
    <s v="MALE"/>
    <n v="47"/>
    <x v="1"/>
    <d v="2024-05-19T00:00:00"/>
    <x v="2"/>
    <s v="Accessories"/>
    <n v="2"/>
    <n v="35209.800000000003"/>
    <x v="2"/>
    <n v="70419.600000000006"/>
  </r>
  <r>
    <n v="1132"/>
    <x v="131"/>
    <s v="Other"/>
    <n v="33"/>
    <x v="4"/>
    <d v="2024-09-20T00:00:00"/>
    <x v="3"/>
    <s v="Accessories"/>
    <n v="3"/>
    <n v="49365.56"/>
    <x v="2"/>
    <n v="148096.68"/>
  </r>
  <r>
    <n v="1133"/>
    <x v="132"/>
    <s v="FeMALE"/>
    <n v="52"/>
    <x v="2"/>
    <d v="2024-09-11T00:00:00"/>
    <x v="4"/>
    <s v="Accessories"/>
    <n v="1"/>
    <n v="28338.53"/>
    <x v="3"/>
    <n v="28338.53"/>
  </r>
  <r>
    <n v="1134"/>
    <x v="133"/>
    <s v="Other"/>
    <n v="40"/>
    <x v="0"/>
    <d v="2024-09-07T00:00:00"/>
    <x v="5"/>
    <s v="Accessories"/>
    <n v="4"/>
    <n v="43288.6"/>
    <x v="2"/>
    <n v="173154.4"/>
  </r>
  <r>
    <n v="1135"/>
    <x v="134"/>
    <s v="MALE"/>
    <n v="63"/>
    <x v="1"/>
    <d v="2024-05-13T00:00:00"/>
    <x v="1"/>
    <s v="Electronics"/>
    <n v="5"/>
    <n v="21226.080000000002"/>
    <x v="2"/>
    <n v="106130.40000000001"/>
  </r>
  <r>
    <n v="1136"/>
    <x v="135"/>
    <s v="MALE"/>
    <n v="60"/>
    <x v="0"/>
    <d v="2023-05-27T00:00:00"/>
    <x v="4"/>
    <s v="Accessories"/>
    <n v="5"/>
    <n v="32896.230000000003"/>
    <x v="2"/>
    <n v="164481.15000000002"/>
  </r>
  <r>
    <n v="1137"/>
    <x v="136"/>
    <s v="Other"/>
    <n v="40"/>
    <x v="1"/>
    <d v="2023-05-10T00:00:00"/>
    <x v="3"/>
    <s v="Accessories"/>
    <n v="4"/>
    <n v="46300.43"/>
    <x v="3"/>
    <n v="185201.72"/>
  </r>
  <r>
    <n v="1138"/>
    <x v="137"/>
    <s v="Other"/>
    <n v="63"/>
    <x v="2"/>
    <d v="2023-06-12T00:00:00"/>
    <x v="4"/>
    <s v="Electronics"/>
    <n v="4"/>
    <n v="33375.47"/>
    <x v="3"/>
    <n v="133501.88"/>
  </r>
  <r>
    <n v="1139"/>
    <x v="138"/>
    <s v="Other"/>
    <n v="57"/>
    <x v="0"/>
    <d v="2024-01-22T00:00:00"/>
    <x v="2"/>
    <s v="Electronics"/>
    <n v="4"/>
    <n v="15502.49"/>
    <x v="3"/>
    <n v="62009.96"/>
  </r>
  <r>
    <n v="1140"/>
    <x v="139"/>
    <s v="MALE"/>
    <n v="36"/>
    <x v="1"/>
    <d v="2024-10-19T00:00:00"/>
    <x v="3"/>
    <s v="Gadgets"/>
    <n v="1"/>
    <n v="31187.31"/>
    <x v="0"/>
    <n v="31187.31"/>
  </r>
  <r>
    <n v="1141"/>
    <x v="140"/>
    <s v="FeMALE"/>
    <n v="58"/>
    <x v="0"/>
    <d v="2024-04-14T00:00:00"/>
    <x v="1"/>
    <s v="Accessories"/>
    <n v="1"/>
    <n v="17890.259999999998"/>
    <x v="1"/>
    <n v="17890.259999999998"/>
  </r>
  <r>
    <n v="1142"/>
    <x v="141"/>
    <s v="Other"/>
    <n v="62"/>
    <x v="3"/>
    <d v="2023-02-23T00:00:00"/>
    <x v="5"/>
    <s v="Accessories"/>
    <n v="3"/>
    <n v="16457.150000000001"/>
    <x v="2"/>
    <n v="49371.450000000004"/>
  </r>
  <r>
    <n v="1143"/>
    <x v="142"/>
    <s v="Other"/>
    <n v="34"/>
    <x v="2"/>
    <d v="2023-07-30T00:00:00"/>
    <x v="4"/>
    <s v="Accessories"/>
    <n v="2"/>
    <n v="30705.15"/>
    <x v="2"/>
    <n v="61410.3"/>
  </r>
  <r>
    <n v="1144"/>
    <x v="143"/>
    <s v="Other"/>
    <n v="35"/>
    <x v="3"/>
    <d v="2023-01-12T00:00:00"/>
    <x v="3"/>
    <s v="Electronics"/>
    <n v="1"/>
    <n v="8436"/>
    <x v="0"/>
    <n v="8436"/>
  </r>
  <r>
    <n v="1145"/>
    <x v="144"/>
    <s v="Other"/>
    <n v="61"/>
    <x v="2"/>
    <d v="2024-04-12T00:00:00"/>
    <x v="4"/>
    <s v="Accessories"/>
    <n v="4"/>
    <n v="24593.58"/>
    <x v="1"/>
    <n v="98374.32"/>
  </r>
  <r>
    <n v="1146"/>
    <x v="145"/>
    <s v="MALE"/>
    <n v="42"/>
    <x v="4"/>
    <d v="2024-01-23T00:00:00"/>
    <x v="4"/>
    <s v="Gadgets"/>
    <n v="3"/>
    <n v="47308.9"/>
    <x v="0"/>
    <n v="141926.70000000001"/>
  </r>
  <r>
    <n v="1147"/>
    <x v="146"/>
    <s v="Other"/>
    <n v="56"/>
    <x v="2"/>
    <d v="2023-12-06T00:00:00"/>
    <x v="4"/>
    <s v="Gadgets"/>
    <n v="3"/>
    <n v="19503.75"/>
    <x v="3"/>
    <n v="58511.25"/>
  </r>
  <r>
    <n v="1148"/>
    <x v="147"/>
    <s v="FeMALE"/>
    <n v="18"/>
    <x v="0"/>
    <d v="2023-01-01T00:00:00"/>
    <x v="0"/>
    <s v="Electronics"/>
    <n v="2"/>
    <n v="9853.65"/>
    <x v="0"/>
    <n v="19707.3"/>
  </r>
  <r>
    <n v="1149"/>
    <x v="148"/>
    <s v="FeMALE"/>
    <n v="51"/>
    <x v="0"/>
    <d v="2024-03-11T00:00:00"/>
    <x v="5"/>
    <s v="Electronics"/>
    <n v="5"/>
    <n v="23707.53"/>
    <x v="0"/>
    <n v="118537.65"/>
  </r>
  <r>
    <n v="1150"/>
    <x v="149"/>
    <s v="Other"/>
    <n v="36"/>
    <x v="3"/>
    <d v="2023-04-02T00:00:00"/>
    <x v="5"/>
    <s v="Electronics"/>
    <n v="1"/>
    <n v="42124.94"/>
    <x v="1"/>
    <n v="42124.94"/>
  </r>
  <r>
    <n v="1151"/>
    <x v="150"/>
    <s v="MALE"/>
    <n v="25"/>
    <x v="0"/>
    <d v="2024-05-12T00:00:00"/>
    <x v="3"/>
    <s v="Electronics"/>
    <n v="5"/>
    <n v="42212.05"/>
    <x v="3"/>
    <n v="211060.25"/>
  </r>
  <r>
    <n v="1152"/>
    <x v="151"/>
    <s v="Other"/>
    <n v="32"/>
    <x v="0"/>
    <d v="2023-09-12T00:00:00"/>
    <x v="0"/>
    <s v="Electronics"/>
    <n v="2"/>
    <n v="41476.26"/>
    <x v="0"/>
    <n v="82952.52"/>
  </r>
  <r>
    <n v="1153"/>
    <x v="152"/>
    <s v="MALE"/>
    <n v="54"/>
    <x v="1"/>
    <d v="2024-04-15T00:00:00"/>
    <x v="4"/>
    <s v="Electronics"/>
    <n v="5"/>
    <n v="1068.04"/>
    <x v="4"/>
    <n v="5340.2"/>
  </r>
  <r>
    <n v="1154"/>
    <x v="153"/>
    <s v="Other"/>
    <n v="44"/>
    <x v="2"/>
    <d v="2023-03-26T00:00:00"/>
    <x v="4"/>
    <s v="Gadgets"/>
    <n v="5"/>
    <n v="13718.5"/>
    <x v="3"/>
    <n v="68592.5"/>
  </r>
  <r>
    <n v="1155"/>
    <x v="154"/>
    <s v="FeMALE"/>
    <n v="50"/>
    <x v="0"/>
    <d v="2024-04-10T00:00:00"/>
    <x v="5"/>
    <s v="Gadgets"/>
    <n v="3"/>
    <n v="49993.85"/>
    <x v="4"/>
    <n v="149981.54999999999"/>
  </r>
  <r>
    <n v="1156"/>
    <x v="155"/>
    <s v="FeMALE"/>
    <n v="19"/>
    <x v="3"/>
    <d v="2024-01-14T00:00:00"/>
    <x v="3"/>
    <s v="Electronics"/>
    <n v="4"/>
    <n v="6424.32"/>
    <x v="0"/>
    <n v="25697.279999999999"/>
  </r>
  <r>
    <n v="1157"/>
    <x v="156"/>
    <s v="FeMALE"/>
    <n v="42"/>
    <x v="0"/>
    <d v="2023-05-14T00:00:00"/>
    <x v="5"/>
    <s v="Electronics"/>
    <n v="1"/>
    <n v="24759.43"/>
    <x v="3"/>
    <n v="24759.43"/>
  </r>
  <r>
    <n v="1158"/>
    <x v="157"/>
    <s v="Other"/>
    <n v="40"/>
    <x v="4"/>
    <d v="2023-05-20T00:00:00"/>
    <x v="2"/>
    <s v="Accessories"/>
    <n v="3"/>
    <n v="39606.29"/>
    <x v="1"/>
    <n v="118818.87"/>
  </r>
  <r>
    <n v="1159"/>
    <x v="158"/>
    <s v="FeMALE"/>
    <n v="52"/>
    <x v="1"/>
    <d v="2023-03-11T00:00:00"/>
    <x v="4"/>
    <s v="Electronics"/>
    <n v="1"/>
    <n v="6549.59"/>
    <x v="4"/>
    <n v="6549.59"/>
  </r>
  <r>
    <n v="1160"/>
    <x v="159"/>
    <s v="FeMALE"/>
    <n v="48"/>
    <x v="0"/>
    <d v="2023-09-23T00:00:00"/>
    <x v="2"/>
    <s v="Gadgets"/>
    <n v="4"/>
    <n v="33289.25"/>
    <x v="0"/>
    <n v="133157"/>
  </r>
  <r>
    <n v="1161"/>
    <x v="160"/>
    <s v="MALE"/>
    <n v="39"/>
    <x v="3"/>
    <d v="2024-11-17T00:00:00"/>
    <x v="1"/>
    <s v="Gadgets"/>
    <n v="3"/>
    <n v="24659.98"/>
    <x v="4"/>
    <n v="73979.94"/>
  </r>
  <r>
    <n v="1162"/>
    <x v="161"/>
    <s v="Other"/>
    <n v="22"/>
    <x v="0"/>
    <d v="2023-11-27T00:00:00"/>
    <x v="4"/>
    <s v="Gadgets"/>
    <n v="2"/>
    <n v="10117.35"/>
    <x v="1"/>
    <n v="20234.7"/>
  </r>
  <r>
    <n v="1163"/>
    <x v="162"/>
    <s v="MALE"/>
    <n v="21"/>
    <x v="4"/>
    <d v="2023-08-10T00:00:00"/>
    <x v="0"/>
    <s v="Gadgets"/>
    <n v="3"/>
    <n v="43992.19"/>
    <x v="3"/>
    <n v="131976.57"/>
  </r>
  <r>
    <n v="1164"/>
    <x v="163"/>
    <s v="FeMALE"/>
    <n v="36"/>
    <x v="3"/>
    <d v="2023-06-10T00:00:00"/>
    <x v="4"/>
    <s v="Electronics"/>
    <n v="5"/>
    <n v="9483.6299999999992"/>
    <x v="3"/>
    <n v="47418.149999999994"/>
  </r>
  <r>
    <n v="1165"/>
    <x v="164"/>
    <s v="MALE"/>
    <n v="51"/>
    <x v="1"/>
    <d v="2024-02-27T00:00:00"/>
    <x v="5"/>
    <s v="Accessories"/>
    <n v="1"/>
    <n v="32133.119999999999"/>
    <x v="0"/>
    <n v="32133.119999999999"/>
  </r>
  <r>
    <n v="1166"/>
    <x v="165"/>
    <s v="FeMALE"/>
    <n v="29"/>
    <x v="0"/>
    <d v="2024-07-08T00:00:00"/>
    <x v="1"/>
    <s v="Electronics"/>
    <n v="4"/>
    <n v="37170.93"/>
    <x v="2"/>
    <n v="148683.72"/>
  </r>
  <r>
    <n v="1167"/>
    <x v="166"/>
    <s v="FeMALE"/>
    <n v="29"/>
    <x v="2"/>
    <d v="2023-06-01T00:00:00"/>
    <x v="3"/>
    <s v="Accessories"/>
    <n v="1"/>
    <n v="28352.31"/>
    <x v="1"/>
    <n v="28352.31"/>
  </r>
  <r>
    <n v="1168"/>
    <x v="167"/>
    <s v="MALE"/>
    <n v="30"/>
    <x v="4"/>
    <d v="2024-02-29T00:00:00"/>
    <x v="4"/>
    <s v="Accessories"/>
    <n v="2"/>
    <n v="31627.66"/>
    <x v="0"/>
    <n v="63255.32"/>
  </r>
  <r>
    <n v="1169"/>
    <x v="168"/>
    <s v="FeMALE"/>
    <n v="22"/>
    <x v="0"/>
    <d v="2024-07-29T00:00:00"/>
    <x v="3"/>
    <s v="Gadgets"/>
    <n v="2"/>
    <n v="6388.79"/>
    <x v="3"/>
    <n v="12777.58"/>
  </r>
  <r>
    <n v="1170"/>
    <x v="169"/>
    <s v="FeMALE"/>
    <n v="63"/>
    <x v="1"/>
    <d v="2024-07-29T00:00:00"/>
    <x v="4"/>
    <s v="Accessories"/>
    <n v="3"/>
    <n v="15747.83"/>
    <x v="3"/>
    <n v="47243.49"/>
  </r>
  <r>
    <n v="1171"/>
    <x v="170"/>
    <s v="FeMALE"/>
    <n v="18"/>
    <x v="2"/>
    <d v="2023-06-09T00:00:00"/>
    <x v="4"/>
    <s v="Electronics"/>
    <n v="2"/>
    <n v="29554.63"/>
    <x v="3"/>
    <n v="59109.26"/>
  </r>
  <r>
    <n v="1172"/>
    <x v="171"/>
    <s v="Other"/>
    <n v="43"/>
    <x v="2"/>
    <d v="2023-10-02T00:00:00"/>
    <x v="4"/>
    <s v="Electronics"/>
    <n v="2"/>
    <n v="20075.45"/>
    <x v="4"/>
    <n v="40150.9"/>
  </r>
  <r>
    <n v="1173"/>
    <x v="172"/>
    <s v="FeMALE"/>
    <n v="58"/>
    <x v="2"/>
    <d v="2023-06-18T00:00:00"/>
    <x v="3"/>
    <s v="Gadgets"/>
    <n v="3"/>
    <n v="33365.33"/>
    <x v="4"/>
    <n v="100095.99"/>
  </r>
  <r>
    <n v="1174"/>
    <x v="173"/>
    <s v="MALE"/>
    <n v="25"/>
    <x v="3"/>
    <d v="2023-09-19T00:00:00"/>
    <x v="2"/>
    <s v="Gadgets"/>
    <n v="1"/>
    <n v="42671.75"/>
    <x v="2"/>
    <n v="42671.75"/>
  </r>
  <r>
    <n v="1175"/>
    <x v="174"/>
    <s v="MALE"/>
    <n v="25"/>
    <x v="3"/>
    <d v="2023-04-23T00:00:00"/>
    <x v="5"/>
    <s v="Electronics"/>
    <n v="4"/>
    <n v="9915.99"/>
    <x v="3"/>
    <n v="39663.96"/>
  </r>
  <r>
    <n v="1176"/>
    <x v="175"/>
    <s v="Other"/>
    <n v="51"/>
    <x v="0"/>
    <d v="2024-04-21T00:00:00"/>
    <x v="0"/>
    <s v="Electronics"/>
    <n v="5"/>
    <n v="45212"/>
    <x v="4"/>
    <n v="226060"/>
  </r>
  <r>
    <n v="1177"/>
    <x v="176"/>
    <s v="FeMALE"/>
    <n v="25"/>
    <x v="2"/>
    <d v="2024-04-08T00:00:00"/>
    <x v="2"/>
    <s v="Accessories"/>
    <n v="1"/>
    <n v="19467.2"/>
    <x v="0"/>
    <n v="19467.2"/>
  </r>
  <r>
    <n v="1178"/>
    <x v="177"/>
    <s v="MALE"/>
    <n v="52"/>
    <x v="0"/>
    <d v="2023-04-15T00:00:00"/>
    <x v="5"/>
    <s v="Gadgets"/>
    <n v="2"/>
    <n v="47184.65"/>
    <x v="2"/>
    <n v="94369.3"/>
  </r>
  <r>
    <n v="1179"/>
    <x v="178"/>
    <s v="MALE"/>
    <n v="22"/>
    <x v="1"/>
    <d v="2024-05-05T00:00:00"/>
    <x v="2"/>
    <s v="Accessories"/>
    <n v="5"/>
    <n v="31060.42"/>
    <x v="1"/>
    <n v="155302.09999999998"/>
  </r>
  <r>
    <n v="1180"/>
    <x v="179"/>
    <s v="FeMALE"/>
    <n v="23"/>
    <x v="0"/>
    <d v="2023-12-05T00:00:00"/>
    <x v="0"/>
    <s v="Gadgets"/>
    <n v="3"/>
    <n v="39609.730000000003"/>
    <x v="2"/>
    <n v="118829.19"/>
  </r>
  <r>
    <n v="1181"/>
    <x v="180"/>
    <s v="Other"/>
    <n v="57"/>
    <x v="4"/>
    <d v="2024-04-03T00:00:00"/>
    <x v="5"/>
    <s v="Electronics"/>
    <n v="2"/>
    <n v="25981.38"/>
    <x v="4"/>
    <n v="51962.76"/>
  </r>
  <r>
    <n v="1182"/>
    <x v="181"/>
    <s v="FeMALE"/>
    <n v="30"/>
    <x v="0"/>
    <d v="2024-11-11T00:00:00"/>
    <x v="4"/>
    <s v="Electronics"/>
    <n v="1"/>
    <n v="26791.66"/>
    <x v="3"/>
    <n v="26791.66"/>
  </r>
  <r>
    <n v="1183"/>
    <x v="182"/>
    <s v="FeMALE"/>
    <n v="63"/>
    <x v="0"/>
    <d v="2024-10-27T00:00:00"/>
    <x v="0"/>
    <s v="Accessories"/>
    <n v="1"/>
    <n v="16715.900000000001"/>
    <x v="4"/>
    <n v="16715.900000000001"/>
  </r>
  <r>
    <n v="1184"/>
    <x v="183"/>
    <s v="MALE"/>
    <n v="50"/>
    <x v="2"/>
    <d v="2023-07-16T00:00:00"/>
    <x v="2"/>
    <s v="Accessories"/>
    <n v="2"/>
    <n v="6903.55"/>
    <x v="1"/>
    <n v="13807.1"/>
  </r>
  <r>
    <n v="1185"/>
    <x v="184"/>
    <s v="FeMALE"/>
    <n v="39"/>
    <x v="2"/>
    <d v="2023-03-24T00:00:00"/>
    <x v="5"/>
    <s v="Electronics"/>
    <n v="1"/>
    <n v="19499.18"/>
    <x v="2"/>
    <n v="19499.18"/>
  </r>
  <r>
    <n v="1186"/>
    <x v="185"/>
    <s v="MALE"/>
    <n v="46"/>
    <x v="1"/>
    <d v="2024-01-05T00:00:00"/>
    <x v="5"/>
    <s v="Electronics"/>
    <n v="3"/>
    <n v="11141.34"/>
    <x v="4"/>
    <n v="33424.020000000004"/>
  </r>
  <r>
    <n v="1187"/>
    <x v="186"/>
    <s v="FeMALE"/>
    <n v="25"/>
    <x v="3"/>
    <d v="2024-07-12T00:00:00"/>
    <x v="4"/>
    <s v="Gadgets"/>
    <n v="4"/>
    <n v="2126.83"/>
    <x v="3"/>
    <n v="8507.32"/>
  </r>
  <r>
    <n v="1188"/>
    <x v="187"/>
    <s v="MALE"/>
    <n v="46"/>
    <x v="4"/>
    <d v="2023-01-14T00:00:00"/>
    <x v="4"/>
    <s v="Electronics"/>
    <n v="1"/>
    <n v="14106.9"/>
    <x v="0"/>
    <n v="14106.9"/>
  </r>
  <r>
    <n v="1189"/>
    <x v="188"/>
    <s v="FeMALE"/>
    <n v="43"/>
    <x v="4"/>
    <d v="2023-01-22T00:00:00"/>
    <x v="4"/>
    <s v="Gadgets"/>
    <n v="3"/>
    <n v="9438.51"/>
    <x v="0"/>
    <n v="28315.53"/>
  </r>
  <r>
    <n v="1190"/>
    <x v="189"/>
    <s v="FeMALE"/>
    <n v="59"/>
    <x v="1"/>
    <d v="2023-03-22T00:00:00"/>
    <x v="0"/>
    <s v="Accessories"/>
    <n v="4"/>
    <n v="43838.75"/>
    <x v="0"/>
    <n v="175355"/>
  </r>
  <r>
    <n v="1191"/>
    <x v="190"/>
    <s v="FeMALE"/>
    <n v="51"/>
    <x v="0"/>
    <d v="2024-04-10T00:00:00"/>
    <x v="2"/>
    <s v="Electronics"/>
    <n v="5"/>
    <n v="4521.21"/>
    <x v="4"/>
    <n v="22606.05"/>
  </r>
  <r>
    <n v="1192"/>
    <x v="191"/>
    <s v="FeMALE"/>
    <n v="19"/>
    <x v="4"/>
    <d v="2024-08-29T00:00:00"/>
    <x v="1"/>
    <s v="Electronics"/>
    <n v="4"/>
    <n v="9602.83"/>
    <x v="1"/>
    <n v="38411.32"/>
  </r>
  <r>
    <n v="1193"/>
    <x v="192"/>
    <s v="MALE"/>
    <n v="31"/>
    <x v="0"/>
    <d v="2024-09-16T00:00:00"/>
    <x v="4"/>
    <s v="Accessories"/>
    <n v="3"/>
    <n v="35349.519999999997"/>
    <x v="2"/>
    <n v="106048.56"/>
  </r>
  <r>
    <n v="1194"/>
    <x v="193"/>
    <s v="Other"/>
    <n v="56"/>
    <x v="3"/>
    <d v="2023-11-02T00:00:00"/>
    <x v="2"/>
    <s v="Gadgets"/>
    <n v="4"/>
    <n v="46001.68"/>
    <x v="4"/>
    <n v="184006.72"/>
  </r>
  <r>
    <n v="1195"/>
    <x v="194"/>
    <s v="FeMALE"/>
    <n v="39"/>
    <x v="3"/>
    <d v="2023-02-21T00:00:00"/>
    <x v="0"/>
    <s v="Electronics"/>
    <n v="3"/>
    <n v="12947.19"/>
    <x v="3"/>
    <n v="38841.57"/>
  </r>
  <r>
    <n v="1196"/>
    <x v="195"/>
    <s v="MALE"/>
    <n v="45"/>
    <x v="4"/>
    <d v="2023-05-23T00:00:00"/>
    <x v="4"/>
    <s v="Accessories"/>
    <n v="2"/>
    <n v="1554.41"/>
    <x v="4"/>
    <n v="3108.82"/>
  </r>
  <r>
    <n v="1197"/>
    <x v="196"/>
    <s v="MALE"/>
    <n v="56"/>
    <x v="0"/>
    <d v="2023-06-08T00:00:00"/>
    <x v="3"/>
    <s v="Gadgets"/>
    <n v="2"/>
    <n v="48044.97"/>
    <x v="1"/>
    <n v="96089.94"/>
  </r>
  <r>
    <n v="1198"/>
    <x v="197"/>
    <s v="Other"/>
    <n v="38"/>
    <x v="1"/>
    <d v="2023-01-11T00:00:00"/>
    <x v="5"/>
    <s v="Electronics"/>
    <n v="5"/>
    <n v="34269.919999999998"/>
    <x v="3"/>
    <n v="171349.59999999998"/>
  </r>
  <r>
    <n v="1199"/>
    <x v="198"/>
    <s v="FeMALE"/>
    <n v="51"/>
    <x v="4"/>
    <d v="2023-09-18T00:00:00"/>
    <x v="1"/>
    <s v="Gadgets"/>
    <n v="2"/>
    <n v="15877.8"/>
    <x v="2"/>
    <n v="31755.599999999999"/>
  </r>
  <r>
    <n v="1200"/>
    <x v="199"/>
    <s v="MALE"/>
    <n v="19"/>
    <x v="2"/>
    <d v="2023-07-02T00:00:00"/>
    <x v="0"/>
    <s v="Gadgets"/>
    <n v="3"/>
    <n v="23882.49"/>
    <x v="4"/>
    <n v="71647.47"/>
  </r>
  <r>
    <n v="1201"/>
    <x v="200"/>
    <s v="Other"/>
    <n v="49"/>
    <x v="3"/>
    <d v="2023-04-09T00:00:00"/>
    <x v="4"/>
    <s v="Accessories"/>
    <n v="1"/>
    <n v="30163.17"/>
    <x v="1"/>
    <n v="30163.17"/>
  </r>
  <r>
    <n v="1202"/>
    <x v="201"/>
    <s v="Other"/>
    <n v="56"/>
    <x v="4"/>
    <d v="2023-02-05T00:00:00"/>
    <x v="3"/>
    <s v="Gadgets"/>
    <n v="5"/>
    <n v="19006.490000000002"/>
    <x v="0"/>
    <n v="95032.450000000012"/>
  </r>
  <r>
    <n v="1203"/>
    <x v="202"/>
    <s v="Other"/>
    <n v="46"/>
    <x v="2"/>
    <d v="2023-04-25T00:00:00"/>
    <x v="3"/>
    <s v="Gadgets"/>
    <n v="3"/>
    <n v="43787.15"/>
    <x v="4"/>
    <n v="131361.45000000001"/>
  </r>
  <r>
    <n v="1204"/>
    <x v="203"/>
    <s v="MALE"/>
    <n v="29"/>
    <x v="0"/>
    <d v="2023-07-04T00:00:00"/>
    <x v="4"/>
    <s v="Gadgets"/>
    <n v="1"/>
    <n v="36445.54"/>
    <x v="1"/>
    <n v="36445.54"/>
  </r>
  <r>
    <n v="1205"/>
    <x v="204"/>
    <s v="FeMALE"/>
    <n v="53"/>
    <x v="0"/>
    <d v="2024-10-15T00:00:00"/>
    <x v="0"/>
    <s v="Accessories"/>
    <n v="3"/>
    <n v="47739.86"/>
    <x v="0"/>
    <n v="143219.58000000002"/>
  </r>
  <r>
    <n v="1206"/>
    <x v="205"/>
    <s v="FeMALE"/>
    <n v="49"/>
    <x v="1"/>
    <d v="2023-09-08T00:00:00"/>
    <x v="1"/>
    <s v="Electronics"/>
    <n v="1"/>
    <n v="17877.740000000002"/>
    <x v="3"/>
    <n v="17877.740000000002"/>
  </r>
  <r>
    <n v="1207"/>
    <x v="206"/>
    <s v="FeMALE"/>
    <n v="20"/>
    <x v="1"/>
    <d v="2023-09-25T00:00:00"/>
    <x v="4"/>
    <s v="Gadgets"/>
    <n v="3"/>
    <n v="46890.12"/>
    <x v="0"/>
    <n v="140670.36000000002"/>
  </r>
  <r>
    <n v="1208"/>
    <x v="207"/>
    <s v="FeMALE"/>
    <n v="21"/>
    <x v="3"/>
    <d v="2024-01-01T00:00:00"/>
    <x v="0"/>
    <s v="Electronics"/>
    <n v="1"/>
    <n v="24215.48"/>
    <x v="1"/>
    <n v="24215.48"/>
  </r>
  <r>
    <n v="1209"/>
    <x v="208"/>
    <s v="Other"/>
    <n v="50"/>
    <x v="4"/>
    <d v="2024-10-23T00:00:00"/>
    <x v="1"/>
    <s v="Gadgets"/>
    <n v="2"/>
    <n v="32294.97"/>
    <x v="3"/>
    <n v="64589.94"/>
  </r>
  <r>
    <n v="1210"/>
    <x v="209"/>
    <s v="MALE"/>
    <n v="28"/>
    <x v="0"/>
    <d v="2024-08-16T00:00:00"/>
    <x v="4"/>
    <s v="Gadgets"/>
    <n v="1"/>
    <n v="36964.04"/>
    <x v="3"/>
    <n v="36964.04"/>
  </r>
  <r>
    <n v="1211"/>
    <x v="210"/>
    <s v="MALE"/>
    <n v="50"/>
    <x v="1"/>
    <d v="2024-09-26T00:00:00"/>
    <x v="2"/>
    <s v="Gadgets"/>
    <n v="2"/>
    <n v="40562.230000000003"/>
    <x v="0"/>
    <n v="81124.460000000006"/>
  </r>
  <r>
    <n v="1212"/>
    <x v="211"/>
    <s v="Other"/>
    <n v="51"/>
    <x v="1"/>
    <d v="2023-04-05T00:00:00"/>
    <x v="4"/>
    <s v="Electronics"/>
    <n v="1"/>
    <n v="20114.84"/>
    <x v="4"/>
    <n v="20114.84"/>
  </r>
  <r>
    <n v="1213"/>
    <x v="212"/>
    <s v="MALE"/>
    <n v="23"/>
    <x v="2"/>
    <d v="2024-01-18T00:00:00"/>
    <x v="2"/>
    <s v="Electronics"/>
    <n v="2"/>
    <n v="22673.33"/>
    <x v="2"/>
    <n v="45346.66"/>
  </r>
  <r>
    <n v="1214"/>
    <x v="213"/>
    <s v="FeMALE"/>
    <n v="18"/>
    <x v="4"/>
    <d v="2024-04-20T00:00:00"/>
    <x v="2"/>
    <s v="Gadgets"/>
    <n v="4"/>
    <n v="40955.21"/>
    <x v="0"/>
    <n v="163820.84"/>
  </r>
  <r>
    <n v="1215"/>
    <x v="214"/>
    <s v="MALE"/>
    <n v="55"/>
    <x v="1"/>
    <d v="2023-03-27T00:00:00"/>
    <x v="0"/>
    <s v="Gadgets"/>
    <n v="5"/>
    <n v="36019.08"/>
    <x v="4"/>
    <n v="180095.40000000002"/>
  </r>
  <r>
    <n v="1216"/>
    <x v="215"/>
    <s v="Other"/>
    <n v="64"/>
    <x v="4"/>
    <d v="2023-09-01T00:00:00"/>
    <x v="3"/>
    <s v="Accessories"/>
    <n v="2"/>
    <n v="47072.04"/>
    <x v="2"/>
    <n v="94144.08"/>
  </r>
  <r>
    <n v="1217"/>
    <x v="216"/>
    <s v="MALE"/>
    <n v="26"/>
    <x v="4"/>
    <d v="2023-03-02T00:00:00"/>
    <x v="3"/>
    <s v="Electronics"/>
    <n v="5"/>
    <n v="48990.09"/>
    <x v="4"/>
    <n v="244950.44999999998"/>
  </r>
  <r>
    <n v="1218"/>
    <x v="217"/>
    <s v="Other"/>
    <n v="61"/>
    <x v="1"/>
    <d v="2023-09-01T00:00:00"/>
    <x v="4"/>
    <s v="Electronics"/>
    <n v="1"/>
    <n v="9356.2099999999991"/>
    <x v="3"/>
    <n v="9356.2099999999991"/>
  </r>
  <r>
    <n v="1219"/>
    <x v="218"/>
    <s v="Other"/>
    <n v="62"/>
    <x v="4"/>
    <d v="2024-04-21T00:00:00"/>
    <x v="3"/>
    <s v="Accessories"/>
    <n v="2"/>
    <n v="11782.01"/>
    <x v="4"/>
    <n v="23564.02"/>
  </r>
  <r>
    <n v="1220"/>
    <x v="219"/>
    <s v="MALE"/>
    <n v="42"/>
    <x v="4"/>
    <d v="2023-12-21T00:00:00"/>
    <x v="2"/>
    <s v="Accessories"/>
    <n v="3"/>
    <n v="35941.33"/>
    <x v="3"/>
    <n v="107823.99"/>
  </r>
  <r>
    <n v="1221"/>
    <x v="220"/>
    <s v="FeMALE"/>
    <n v="34"/>
    <x v="2"/>
    <d v="2023-12-14T00:00:00"/>
    <x v="1"/>
    <s v="Electronics"/>
    <n v="4"/>
    <n v="37495.449999999997"/>
    <x v="3"/>
    <n v="149981.79999999999"/>
  </r>
  <r>
    <n v="1222"/>
    <x v="221"/>
    <s v="MALE"/>
    <n v="50"/>
    <x v="0"/>
    <d v="2023-07-22T00:00:00"/>
    <x v="5"/>
    <s v="Gadgets"/>
    <n v="5"/>
    <n v="30357.39"/>
    <x v="4"/>
    <n v="151786.95000000001"/>
  </r>
  <r>
    <n v="1223"/>
    <x v="222"/>
    <s v="MALE"/>
    <n v="50"/>
    <x v="3"/>
    <d v="2024-10-10T00:00:00"/>
    <x v="2"/>
    <s v="Gadgets"/>
    <n v="4"/>
    <n v="43926.34"/>
    <x v="3"/>
    <n v="175705.36"/>
  </r>
  <r>
    <n v="1224"/>
    <x v="223"/>
    <s v="MALE"/>
    <n v="59"/>
    <x v="1"/>
    <d v="2023-07-29T00:00:00"/>
    <x v="0"/>
    <s v="Accessories"/>
    <n v="4"/>
    <n v="12973.53"/>
    <x v="4"/>
    <n v="51894.12"/>
  </r>
  <r>
    <n v="1225"/>
    <x v="224"/>
    <s v="FeMALE"/>
    <n v="42"/>
    <x v="2"/>
    <d v="2024-10-29T00:00:00"/>
    <x v="5"/>
    <s v="Gadgets"/>
    <n v="3"/>
    <n v="17304.63"/>
    <x v="0"/>
    <n v="51913.89"/>
  </r>
  <r>
    <n v="1226"/>
    <x v="225"/>
    <s v="Other"/>
    <n v="39"/>
    <x v="1"/>
    <d v="2024-02-14T00:00:00"/>
    <x v="5"/>
    <s v="Accessories"/>
    <n v="5"/>
    <n v="24985.02"/>
    <x v="1"/>
    <n v="124925.1"/>
  </r>
  <r>
    <n v="1227"/>
    <x v="226"/>
    <s v="FeMALE"/>
    <n v="45"/>
    <x v="0"/>
    <d v="2024-11-07T00:00:00"/>
    <x v="2"/>
    <s v="Accessories"/>
    <n v="3"/>
    <n v="16093.84"/>
    <x v="0"/>
    <n v="48281.520000000004"/>
  </r>
  <r>
    <n v="1228"/>
    <x v="227"/>
    <s v="MALE"/>
    <n v="64"/>
    <x v="2"/>
    <d v="2024-02-03T00:00:00"/>
    <x v="1"/>
    <s v="Gadgets"/>
    <n v="4"/>
    <n v="27499.23"/>
    <x v="1"/>
    <n v="109996.92"/>
  </r>
  <r>
    <n v="1229"/>
    <x v="228"/>
    <s v="MALE"/>
    <n v="53"/>
    <x v="4"/>
    <d v="2024-01-23T00:00:00"/>
    <x v="3"/>
    <s v="Accessories"/>
    <n v="5"/>
    <n v="34282.660000000003"/>
    <x v="2"/>
    <n v="171413.30000000002"/>
  </r>
  <r>
    <n v="1230"/>
    <x v="229"/>
    <s v="MALE"/>
    <n v="22"/>
    <x v="4"/>
    <d v="2023-04-03T00:00:00"/>
    <x v="3"/>
    <s v="Gadgets"/>
    <n v="3"/>
    <n v="11408.16"/>
    <x v="1"/>
    <n v="34224.479999999996"/>
  </r>
  <r>
    <n v="1231"/>
    <x v="230"/>
    <s v="FeMALE"/>
    <n v="50"/>
    <x v="4"/>
    <d v="2024-08-19T00:00:00"/>
    <x v="1"/>
    <s v="Accessories"/>
    <n v="2"/>
    <n v="24524.2"/>
    <x v="2"/>
    <n v="49048.4"/>
  </r>
  <r>
    <n v="1232"/>
    <x v="231"/>
    <s v="Other"/>
    <n v="63"/>
    <x v="1"/>
    <d v="2024-04-01T00:00:00"/>
    <x v="2"/>
    <s v="Electronics"/>
    <n v="5"/>
    <n v="49652.58"/>
    <x v="0"/>
    <n v="248262.90000000002"/>
  </r>
  <r>
    <n v="1233"/>
    <x v="232"/>
    <s v="MALE"/>
    <n v="42"/>
    <x v="2"/>
    <d v="2023-10-27T00:00:00"/>
    <x v="2"/>
    <s v="Gadgets"/>
    <n v="4"/>
    <n v="16545.98"/>
    <x v="0"/>
    <n v="66183.92"/>
  </r>
  <r>
    <n v="1234"/>
    <x v="233"/>
    <s v="MALE"/>
    <n v="56"/>
    <x v="0"/>
    <d v="2023-08-16T00:00:00"/>
    <x v="3"/>
    <s v="Accessories"/>
    <n v="3"/>
    <n v="2250.42"/>
    <x v="1"/>
    <n v="6751.26"/>
  </r>
  <r>
    <n v="1235"/>
    <x v="234"/>
    <s v="Other"/>
    <n v="60"/>
    <x v="0"/>
    <d v="2023-09-22T00:00:00"/>
    <x v="1"/>
    <s v="Gadgets"/>
    <n v="1"/>
    <n v="40958.910000000003"/>
    <x v="1"/>
    <n v="40958.910000000003"/>
  </r>
  <r>
    <n v="1236"/>
    <x v="235"/>
    <s v="Other"/>
    <n v="43"/>
    <x v="4"/>
    <d v="2023-07-03T00:00:00"/>
    <x v="5"/>
    <s v="Accessories"/>
    <n v="1"/>
    <n v="25413.69"/>
    <x v="0"/>
    <n v="25413.69"/>
  </r>
  <r>
    <n v="1237"/>
    <x v="236"/>
    <s v="Other"/>
    <n v="50"/>
    <x v="0"/>
    <d v="2024-10-19T00:00:00"/>
    <x v="5"/>
    <s v="Accessories"/>
    <n v="3"/>
    <n v="3112.8"/>
    <x v="1"/>
    <n v="9338.4000000000015"/>
  </r>
  <r>
    <n v="1238"/>
    <x v="237"/>
    <s v="Other"/>
    <n v="58"/>
    <x v="4"/>
    <d v="2024-09-14T00:00:00"/>
    <x v="5"/>
    <s v="Gadgets"/>
    <n v="3"/>
    <n v="44570.1"/>
    <x v="0"/>
    <n v="133710.29999999999"/>
  </r>
  <r>
    <n v="1239"/>
    <x v="238"/>
    <s v="FeMALE"/>
    <n v="51"/>
    <x v="2"/>
    <d v="2023-03-02T00:00:00"/>
    <x v="3"/>
    <s v="Electronics"/>
    <n v="5"/>
    <n v="20523.46"/>
    <x v="1"/>
    <n v="102617.29999999999"/>
  </r>
  <r>
    <n v="1240"/>
    <x v="239"/>
    <s v="Other"/>
    <n v="24"/>
    <x v="0"/>
    <d v="2024-11-03T00:00:00"/>
    <x v="3"/>
    <s v="Accessories"/>
    <n v="1"/>
    <n v="46499.02"/>
    <x v="2"/>
    <n v="46499.02"/>
  </r>
  <r>
    <n v="1241"/>
    <x v="240"/>
    <s v="MALE"/>
    <n v="19"/>
    <x v="0"/>
    <d v="2023-12-21T00:00:00"/>
    <x v="1"/>
    <s v="Gadgets"/>
    <n v="2"/>
    <n v="20402.87"/>
    <x v="0"/>
    <n v="40805.74"/>
  </r>
  <r>
    <n v="1242"/>
    <x v="241"/>
    <s v="Other"/>
    <n v="49"/>
    <x v="2"/>
    <d v="2024-10-29T00:00:00"/>
    <x v="3"/>
    <s v="Accessories"/>
    <n v="3"/>
    <n v="4303.2"/>
    <x v="4"/>
    <n v="12909.599999999999"/>
  </r>
  <r>
    <n v="1243"/>
    <x v="242"/>
    <s v="MALE"/>
    <n v="25"/>
    <x v="3"/>
    <d v="2024-04-24T00:00:00"/>
    <x v="0"/>
    <s v="Gadgets"/>
    <n v="4"/>
    <n v="12642.41"/>
    <x v="2"/>
    <n v="50569.64"/>
  </r>
  <r>
    <n v="1244"/>
    <x v="243"/>
    <s v="MALE"/>
    <n v="31"/>
    <x v="0"/>
    <d v="2024-03-12T00:00:00"/>
    <x v="0"/>
    <s v="Accessories"/>
    <n v="5"/>
    <n v="17837.900000000001"/>
    <x v="1"/>
    <n v="89189.5"/>
  </r>
  <r>
    <n v="1245"/>
    <x v="244"/>
    <s v="MALE"/>
    <n v="21"/>
    <x v="2"/>
    <d v="2024-07-16T00:00:00"/>
    <x v="1"/>
    <s v="Accessories"/>
    <n v="2"/>
    <n v="37661.050000000003"/>
    <x v="0"/>
    <n v="75322.100000000006"/>
  </r>
  <r>
    <n v="1246"/>
    <x v="245"/>
    <s v="MALE"/>
    <n v="46"/>
    <x v="0"/>
    <d v="2024-05-05T00:00:00"/>
    <x v="4"/>
    <s v="Electronics"/>
    <n v="2"/>
    <n v="9645.0300000000007"/>
    <x v="2"/>
    <n v="19290.060000000001"/>
  </r>
  <r>
    <n v="1247"/>
    <x v="246"/>
    <s v="FeMALE"/>
    <n v="33"/>
    <x v="4"/>
    <d v="2024-01-16T00:00:00"/>
    <x v="3"/>
    <s v="Gadgets"/>
    <n v="5"/>
    <n v="21833.200000000001"/>
    <x v="3"/>
    <n v="109166"/>
  </r>
  <r>
    <n v="1248"/>
    <x v="247"/>
    <s v="Other"/>
    <n v="47"/>
    <x v="4"/>
    <d v="2024-04-08T00:00:00"/>
    <x v="1"/>
    <s v="Accessories"/>
    <n v="5"/>
    <n v="43725.65"/>
    <x v="1"/>
    <n v="218628.25"/>
  </r>
  <r>
    <n v="1249"/>
    <x v="248"/>
    <s v="Other"/>
    <n v="20"/>
    <x v="2"/>
    <d v="2024-07-03T00:00:00"/>
    <x v="5"/>
    <s v="Accessories"/>
    <n v="5"/>
    <n v="26921.17"/>
    <x v="0"/>
    <n v="134605.84999999998"/>
  </r>
  <r>
    <n v="1250"/>
    <x v="249"/>
    <s v="FeMALE"/>
    <n v="37"/>
    <x v="0"/>
    <d v="2023-07-04T00:00:00"/>
    <x v="0"/>
    <s v="Gadgets"/>
    <n v="5"/>
    <n v="5606.16"/>
    <x v="3"/>
    <n v="28030.799999999999"/>
  </r>
  <r>
    <n v="1251"/>
    <x v="250"/>
    <s v="FeMALE"/>
    <n v="50"/>
    <x v="3"/>
    <d v="2023-06-18T00:00:00"/>
    <x v="5"/>
    <s v="Electronics"/>
    <n v="4"/>
    <n v="1713.86"/>
    <x v="0"/>
    <n v="6855.44"/>
  </r>
  <r>
    <n v="1252"/>
    <x v="251"/>
    <s v="MALE"/>
    <n v="36"/>
    <x v="2"/>
    <d v="2024-11-09T00:00:00"/>
    <x v="2"/>
    <s v="Accessories"/>
    <n v="1"/>
    <n v="35437.589999999997"/>
    <x v="2"/>
    <n v="35437.589999999997"/>
  </r>
  <r>
    <n v="1253"/>
    <x v="252"/>
    <s v="Other"/>
    <n v="58"/>
    <x v="2"/>
    <d v="2024-10-21T00:00:00"/>
    <x v="3"/>
    <s v="Electronics"/>
    <n v="5"/>
    <n v="48966.81"/>
    <x v="1"/>
    <n v="244834.05"/>
  </r>
  <r>
    <n v="1254"/>
    <x v="253"/>
    <s v="Other"/>
    <n v="52"/>
    <x v="0"/>
    <d v="2023-10-28T00:00:00"/>
    <x v="3"/>
    <s v="Gadgets"/>
    <n v="3"/>
    <n v="39365.68"/>
    <x v="0"/>
    <n v="118097.04000000001"/>
  </r>
  <r>
    <n v="1255"/>
    <x v="254"/>
    <s v="Other"/>
    <n v="48"/>
    <x v="1"/>
    <d v="2023-05-29T00:00:00"/>
    <x v="4"/>
    <s v="Accessories"/>
    <n v="3"/>
    <n v="38353.949999999997"/>
    <x v="3"/>
    <n v="115061.84999999999"/>
  </r>
  <r>
    <n v="1256"/>
    <x v="255"/>
    <s v="MALE"/>
    <n v="50"/>
    <x v="0"/>
    <d v="2024-07-29T00:00:00"/>
    <x v="5"/>
    <s v="Accessories"/>
    <n v="5"/>
    <n v="33934.65"/>
    <x v="3"/>
    <n v="169673.25"/>
  </r>
  <r>
    <n v="1257"/>
    <x v="256"/>
    <s v="Other"/>
    <n v="64"/>
    <x v="3"/>
    <d v="2023-05-30T00:00:00"/>
    <x v="0"/>
    <s v="Electronics"/>
    <n v="1"/>
    <n v="39877.379999999997"/>
    <x v="4"/>
    <n v="39877.379999999997"/>
  </r>
  <r>
    <n v="1258"/>
    <x v="257"/>
    <s v="Other"/>
    <n v="37"/>
    <x v="0"/>
    <d v="2024-03-28T00:00:00"/>
    <x v="5"/>
    <s v="Gadgets"/>
    <n v="4"/>
    <n v="2480.88"/>
    <x v="2"/>
    <n v="9923.52"/>
  </r>
  <r>
    <n v="1259"/>
    <x v="258"/>
    <s v="FeMALE"/>
    <n v="59"/>
    <x v="2"/>
    <d v="2023-08-09T00:00:00"/>
    <x v="2"/>
    <s v="Electronics"/>
    <n v="5"/>
    <n v="13601.74"/>
    <x v="1"/>
    <n v="68008.7"/>
  </r>
  <r>
    <n v="1260"/>
    <x v="259"/>
    <s v="MALE"/>
    <n v="38"/>
    <x v="4"/>
    <d v="2024-01-09T00:00:00"/>
    <x v="3"/>
    <s v="Accessories"/>
    <n v="2"/>
    <n v="34922.18"/>
    <x v="0"/>
    <n v="69844.36"/>
  </r>
  <r>
    <n v="1261"/>
    <x v="260"/>
    <s v="MALE"/>
    <n v="58"/>
    <x v="3"/>
    <d v="2023-05-27T00:00:00"/>
    <x v="0"/>
    <s v="Gadgets"/>
    <n v="5"/>
    <n v="43415.92"/>
    <x v="1"/>
    <n v="217079.59999999998"/>
  </r>
  <r>
    <n v="1262"/>
    <x v="261"/>
    <s v="MALE"/>
    <n v="64"/>
    <x v="2"/>
    <d v="2023-03-10T00:00:00"/>
    <x v="5"/>
    <s v="Accessories"/>
    <n v="1"/>
    <n v="33893.040000000001"/>
    <x v="1"/>
    <n v="33893.040000000001"/>
  </r>
  <r>
    <n v="1263"/>
    <x v="262"/>
    <s v="MALE"/>
    <n v="22"/>
    <x v="0"/>
    <d v="2023-05-06T00:00:00"/>
    <x v="2"/>
    <s v="Electronics"/>
    <n v="1"/>
    <n v="9225.67"/>
    <x v="0"/>
    <n v="9225.67"/>
  </r>
  <r>
    <n v="1264"/>
    <x v="263"/>
    <s v="Other"/>
    <n v="27"/>
    <x v="1"/>
    <d v="2023-12-01T00:00:00"/>
    <x v="3"/>
    <s v="Accessories"/>
    <n v="2"/>
    <n v="46847.27"/>
    <x v="4"/>
    <n v="93694.54"/>
  </r>
  <r>
    <n v="1265"/>
    <x v="264"/>
    <s v="FeMALE"/>
    <n v="18"/>
    <x v="2"/>
    <d v="2023-03-01T00:00:00"/>
    <x v="2"/>
    <s v="Gadgets"/>
    <n v="5"/>
    <n v="45217.25"/>
    <x v="1"/>
    <n v="226086.25"/>
  </r>
  <r>
    <n v="1266"/>
    <x v="265"/>
    <s v="FeMALE"/>
    <n v="44"/>
    <x v="1"/>
    <d v="2024-11-27T00:00:00"/>
    <x v="0"/>
    <s v="Gadgets"/>
    <n v="2"/>
    <n v="4790.6000000000004"/>
    <x v="2"/>
    <n v="9581.2000000000007"/>
  </r>
  <r>
    <n v="1267"/>
    <x v="266"/>
    <s v="MALE"/>
    <n v="39"/>
    <x v="3"/>
    <d v="2023-10-28T00:00:00"/>
    <x v="3"/>
    <s v="Electronics"/>
    <n v="2"/>
    <n v="10053.5"/>
    <x v="3"/>
    <n v="20107"/>
  </r>
  <r>
    <n v="1268"/>
    <x v="267"/>
    <s v="Other"/>
    <n v="28"/>
    <x v="2"/>
    <d v="2023-10-23T00:00:00"/>
    <x v="0"/>
    <s v="Gadgets"/>
    <n v="1"/>
    <n v="14122.06"/>
    <x v="0"/>
    <n v="14122.06"/>
  </r>
  <r>
    <n v="1269"/>
    <x v="268"/>
    <s v="Other"/>
    <n v="39"/>
    <x v="4"/>
    <d v="2023-08-27T00:00:00"/>
    <x v="5"/>
    <s v="Gadgets"/>
    <n v="4"/>
    <n v="37051.39"/>
    <x v="0"/>
    <n v="148205.56"/>
  </r>
  <r>
    <n v="1270"/>
    <x v="269"/>
    <s v="FeMALE"/>
    <n v="51"/>
    <x v="1"/>
    <d v="2024-07-27T00:00:00"/>
    <x v="4"/>
    <s v="Accessories"/>
    <n v="1"/>
    <n v="43038.98"/>
    <x v="2"/>
    <n v="43038.98"/>
  </r>
  <r>
    <n v="1271"/>
    <x v="270"/>
    <s v="Other"/>
    <n v="56"/>
    <x v="3"/>
    <d v="2023-11-20T00:00:00"/>
    <x v="2"/>
    <s v="Gadgets"/>
    <n v="2"/>
    <n v="29126.959999999999"/>
    <x v="4"/>
    <n v="58253.919999999998"/>
  </r>
  <r>
    <n v="1272"/>
    <x v="271"/>
    <s v="FeMALE"/>
    <n v="55"/>
    <x v="0"/>
    <d v="2023-11-06T00:00:00"/>
    <x v="0"/>
    <s v="Accessories"/>
    <n v="3"/>
    <n v="10382.459999999999"/>
    <x v="2"/>
    <n v="31147.379999999997"/>
  </r>
  <r>
    <n v="1273"/>
    <x v="272"/>
    <s v="Other"/>
    <n v="61"/>
    <x v="3"/>
    <d v="2024-10-10T00:00:00"/>
    <x v="0"/>
    <s v="Accessories"/>
    <n v="5"/>
    <n v="21046.95"/>
    <x v="3"/>
    <n v="105234.75"/>
  </r>
  <r>
    <n v="1274"/>
    <x v="273"/>
    <s v="FeMALE"/>
    <n v="57"/>
    <x v="1"/>
    <d v="2023-10-18T00:00:00"/>
    <x v="1"/>
    <s v="Accessories"/>
    <n v="1"/>
    <n v="7324.03"/>
    <x v="2"/>
    <n v="7324.03"/>
  </r>
  <r>
    <n v="1275"/>
    <x v="274"/>
    <s v="Other"/>
    <n v="51"/>
    <x v="2"/>
    <d v="2023-02-03T00:00:00"/>
    <x v="1"/>
    <s v="Gadgets"/>
    <n v="2"/>
    <n v="45911.11"/>
    <x v="4"/>
    <n v="91822.22"/>
  </r>
  <r>
    <n v="1276"/>
    <x v="275"/>
    <s v="MALE"/>
    <n v="49"/>
    <x v="1"/>
    <d v="2024-05-09T00:00:00"/>
    <x v="2"/>
    <s v="Gadgets"/>
    <n v="5"/>
    <n v="38344.28"/>
    <x v="0"/>
    <n v="191721.4"/>
  </r>
  <r>
    <n v="1277"/>
    <x v="276"/>
    <s v="MALE"/>
    <n v="59"/>
    <x v="0"/>
    <d v="2023-08-09T00:00:00"/>
    <x v="4"/>
    <s v="Accessories"/>
    <n v="4"/>
    <n v="25755.58"/>
    <x v="1"/>
    <n v="103022.32"/>
  </r>
  <r>
    <n v="1278"/>
    <x v="277"/>
    <s v="Other"/>
    <n v="25"/>
    <x v="4"/>
    <d v="2024-06-21T00:00:00"/>
    <x v="1"/>
    <s v="Gadgets"/>
    <n v="4"/>
    <n v="22951.96"/>
    <x v="3"/>
    <n v="91807.84"/>
  </r>
  <r>
    <n v="1279"/>
    <x v="278"/>
    <s v="Other"/>
    <n v="23"/>
    <x v="0"/>
    <d v="2023-03-09T00:00:00"/>
    <x v="5"/>
    <s v="Accessories"/>
    <n v="1"/>
    <n v="5343.18"/>
    <x v="4"/>
    <n v="5343.18"/>
  </r>
  <r>
    <n v="1280"/>
    <x v="279"/>
    <s v="MALE"/>
    <n v="24"/>
    <x v="2"/>
    <d v="2024-05-28T00:00:00"/>
    <x v="4"/>
    <s v="Accessories"/>
    <n v="1"/>
    <n v="16274.43"/>
    <x v="2"/>
    <n v="16274.43"/>
  </r>
  <r>
    <n v="1281"/>
    <x v="280"/>
    <s v="FeMALE"/>
    <n v="41"/>
    <x v="4"/>
    <d v="2024-04-27T00:00:00"/>
    <x v="1"/>
    <s v="Electronics"/>
    <n v="1"/>
    <n v="6471.32"/>
    <x v="4"/>
    <n v="6471.32"/>
  </r>
  <r>
    <n v="1282"/>
    <x v="281"/>
    <s v="Other"/>
    <n v="40"/>
    <x v="4"/>
    <d v="2023-08-28T00:00:00"/>
    <x v="4"/>
    <s v="Electronics"/>
    <n v="3"/>
    <n v="39225.730000000003"/>
    <x v="1"/>
    <n v="117677.19"/>
  </r>
  <r>
    <n v="1283"/>
    <x v="282"/>
    <s v="MALE"/>
    <n v="60"/>
    <x v="3"/>
    <d v="2023-12-12T00:00:00"/>
    <x v="0"/>
    <s v="Electronics"/>
    <n v="3"/>
    <n v="27471.74"/>
    <x v="4"/>
    <n v="82415.22"/>
  </r>
  <r>
    <n v="1284"/>
    <x v="283"/>
    <s v="Other"/>
    <n v="57"/>
    <x v="1"/>
    <d v="2024-09-25T00:00:00"/>
    <x v="4"/>
    <s v="Accessories"/>
    <n v="2"/>
    <n v="11750.23"/>
    <x v="0"/>
    <n v="23500.46"/>
  </r>
  <r>
    <n v="1285"/>
    <x v="284"/>
    <s v="MALE"/>
    <n v="49"/>
    <x v="2"/>
    <d v="2024-02-18T00:00:00"/>
    <x v="5"/>
    <s v="Electronics"/>
    <n v="4"/>
    <n v="11598.04"/>
    <x v="3"/>
    <n v="46392.160000000003"/>
  </r>
  <r>
    <n v="1286"/>
    <x v="285"/>
    <s v="FeMALE"/>
    <n v="55"/>
    <x v="4"/>
    <d v="2024-04-18T00:00:00"/>
    <x v="0"/>
    <s v="Accessories"/>
    <n v="3"/>
    <n v="13389.71"/>
    <x v="2"/>
    <n v="40169.129999999997"/>
  </r>
  <r>
    <n v="1287"/>
    <x v="286"/>
    <s v="MALE"/>
    <n v="56"/>
    <x v="1"/>
    <d v="2023-09-10T00:00:00"/>
    <x v="0"/>
    <s v="Accessories"/>
    <n v="4"/>
    <n v="15789.2"/>
    <x v="1"/>
    <n v="63156.800000000003"/>
  </r>
  <r>
    <n v="1288"/>
    <x v="287"/>
    <s v="MALE"/>
    <n v="41"/>
    <x v="1"/>
    <d v="2023-09-24T00:00:00"/>
    <x v="1"/>
    <s v="Electronics"/>
    <n v="4"/>
    <n v="19691.400000000001"/>
    <x v="2"/>
    <n v="78765.600000000006"/>
  </r>
  <r>
    <n v="1289"/>
    <x v="288"/>
    <s v="Other"/>
    <n v="46"/>
    <x v="1"/>
    <d v="2024-03-21T00:00:00"/>
    <x v="3"/>
    <s v="Accessories"/>
    <n v="3"/>
    <n v="15228.67"/>
    <x v="4"/>
    <n v="45686.01"/>
  </r>
  <r>
    <n v="1290"/>
    <x v="289"/>
    <s v="MALE"/>
    <n v="54"/>
    <x v="2"/>
    <d v="2023-05-25T00:00:00"/>
    <x v="4"/>
    <s v="Gadgets"/>
    <n v="5"/>
    <n v="34138.019999999997"/>
    <x v="2"/>
    <n v="170690.09999999998"/>
  </r>
  <r>
    <n v="1291"/>
    <x v="290"/>
    <s v="Other"/>
    <n v="20"/>
    <x v="0"/>
    <d v="2024-08-14T00:00:00"/>
    <x v="5"/>
    <s v="Gadgets"/>
    <n v="3"/>
    <n v="2236.14"/>
    <x v="1"/>
    <n v="6708.42"/>
  </r>
  <r>
    <n v="1292"/>
    <x v="291"/>
    <s v="FeMALE"/>
    <n v="28"/>
    <x v="1"/>
    <d v="2023-05-09T00:00:00"/>
    <x v="2"/>
    <s v="Gadgets"/>
    <n v="3"/>
    <n v="16741.46"/>
    <x v="0"/>
    <n v="50224.38"/>
  </r>
  <r>
    <n v="1293"/>
    <x v="292"/>
    <s v="Other"/>
    <n v="38"/>
    <x v="3"/>
    <d v="2023-06-08T00:00:00"/>
    <x v="0"/>
    <s v="Gadgets"/>
    <n v="5"/>
    <n v="37391.949999999997"/>
    <x v="1"/>
    <n v="186959.75"/>
  </r>
  <r>
    <n v="1294"/>
    <x v="293"/>
    <s v="MALE"/>
    <n v="18"/>
    <x v="4"/>
    <d v="2023-09-17T00:00:00"/>
    <x v="4"/>
    <s v="Electronics"/>
    <n v="5"/>
    <n v="47169"/>
    <x v="3"/>
    <n v="235845"/>
  </r>
  <r>
    <n v="1295"/>
    <x v="294"/>
    <s v="MALE"/>
    <n v="34"/>
    <x v="3"/>
    <d v="2023-10-22T00:00:00"/>
    <x v="4"/>
    <s v="Accessories"/>
    <n v="2"/>
    <n v="40235.26"/>
    <x v="2"/>
    <n v="80470.52"/>
  </r>
  <r>
    <n v="1296"/>
    <x v="295"/>
    <s v="MALE"/>
    <n v="48"/>
    <x v="1"/>
    <d v="2023-05-03T00:00:00"/>
    <x v="4"/>
    <s v="Electronics"/>
    <n v="5"/>
    <n v="12420.9"/>
    <x v="3"/>
    <n v="62104.5"/>
  </r>
  <r>
    <n v="1297"/>
    <x v="296"/>
    <s v="MALE"/>
    <n v="21"/>
    <x v="0"/>
    <d v="2023-03-09T00:00:00"/>
    <x v="1"/>
    <s v="Accessories"/>
    <n v="5"/>
    <n v="12029.32"/>
    <x v="3"/>
    <n v="60146.6"/>
  </r>
  <r>
    <n v="1298"/>
    <x v="297"/>
    <s v="Other"/>
    <n v="32"/>
    <x v="4"/>
    <d v="2023-06-08T00:00:00"/>
    <x v="5"/>
    <s v="Gadgets"/>
    <n v="3"/>
    <n v="9921.67"/>
    <x v="0"/>
    <n v="29765.010000000002"/>
  </r>
  <r>
    <n v="1299"/>
    <x v="298"/>
    <s v="Other"/>
    <n v="62"/>
    <x v="1"/>
    <d v="2023-10-05T00:00:00"/>
    <x v="0"/>
    <s v="Electronics"/>
    <n v="5"/>
    <n v="44183.63"/>
    <x v="3"/>
    <n v="220918.15"/>
  </r>
  <r>
    <n v="1300"/>
    <x v="299"/>
    <s v="MALE"/>
    <n v="23"/>
    <x v="4"/>
    <d v="2023-01-27T00:00:00"/>
    <x v="1"/>
    <s v="Gadgets"/>
    <n v="1"/>
    <n v="12273.86"/>
    <x v="1"/>
    <n v="12273.86"/>
  </r>
  <r>
    <n v="1301"/>
    <x v="300"/>
    <s v="Other"/>
    <n v="28"/>
    <x v="0"/>
    <d v="2024-06-06T00:00:00"/>
    <x v="5"/>
    <s v="Accessories"/>
    <n v="3"/>
    <n v="38029.94"/>
    <x v="2"/>
    <n v="114089.82"/>
  </r>
  <r>
    <n v="1302"/>
    <x v="301"/>
    <s v="FeMALE"/>
    <n v="61"/>
    <x v="3"/>
    <d v="2024-07-02T00:00:00"/>
    <x v="2"/>
    <s v="Gadgets"/>
    <n v="4"/>
    <n v="13421.96"/>
    <x v="2"/>
    <n v="53687.839999999997"/>
  </r>
  <r>
    <n v="1303"/>
    <x v="302"/>
    <s v="FeMALE"/>
    <n v="64"/>
    <x v="1"/>
    <d v="2023-05-18T00:00:00"/>
    <x v="3"/>
    <s v="Electronics"/>
    <n v="4"/>
    <n v="2137.5500000000002"/>
    <x v="3"/>
    <n v="8550.2000000000007"/>
  </r>
  <r>
    <n v="1304"/>
    <x v="303"/>
    <s v="FeMALE"/>
    <n v="45"/>
    <x v="4"/>
    <d v="2024-01-08T00:00:00"/>
    <x v="4"/>
    <s v="Accessories"/>
    <n v="2"/>
    <n v="36805.660000000003"/>
    <x v="4"/>
    <n v="73611.320000000007"/>
  </r>
  <r>
    <n v="1305"/>
    <x v="304"/>
    <s v="MALE"/>
    <n v="51"/>
    <x v="2"/>
    <d v="2024-01-20T00:00:00"/>
    <x v="0"/>
    <s v="Gadgets"/>
    <n v="1"/>
    <n v="36446.99"/>
    <x v="4"/>
    <n v="36446.99"/>
  </r>
  <r>
    <n v="1306"/>
    <x v="305"/>
    <s v="FeMALE"/>
    <n v="26"/>
    <x v="0"/>
    <d v="2023-02-25T00:00:00"/>
    <x v="2"/>
    <s v="Gadgets"/>
    <n v="2"/>
    <n v="4903.4799999999996"/>
    <x v="2"/>
    <n v="9806.9599999999991"/>
  </r>
  <r>
    <n v="1307"/>
    <x v="306"/>
    <s v="Other"/>
    <n v="22"/>
    <x v="3"/>
    <d v="2024-05-06T00:00:00"/>
    <x v="3"/>
    <s v="Gadgets"/>
    <n v="5"/>
    <n v="16671.71"/>
    <x v="3"/>
    <n v="83358.549999999988"/>
  </r>
  <r>
    <n v="1308"/>
    <x v="307"/>
    <s v="FeMALE"/>
    <n v="57"/>
    <x v="2"/>
    <d v="2024-09-13T00:00:00"/>
    <x v="1"/>
    <s v="Electronics"/>
    <n v="2"/>
    <n v="47444.08"/>
    <x v="4"/>
    <n v="94888.16"/>
  </r>
  <r>
    <n v="1309"/>
    <x v="308"/>
    <s v="Other"/>
    <n v="50"/>
    <x v="0"/>
    <d v="2024-08-04T00:00:00"/>
    <x v="1"/>
    <s v="Accessories"/>
    <n v="2"/>
    <n v="8565.98"/>
    <x v="3"/>
    <n v="17131.96"/>
  </r>
  <r>
    <n v="1310"/>
    <x v="309"/>
    <s v="Other"/>
    <n v="51"/>
    <x v="4"/>
    <d v="2023-09-24T00:00:00"/>
    <x v="2"/>
    <s v="Accessories"/>
    <n v="3"/>
    <n v="4790.29"/>
    <x v="3"/>
    <n v="14370.869999999999"/>
  </r>
  <r>
    <n v="1311"/>
    <x v="310"/>
    <s v="FeMALE"/>
    <n v="25"/>
    <x v="1"/>
    <d v="2023-09-17T00:00:00"/>
    <x v="0"/>
    <s v="Electronics"/>
    <n v="3"/>
    <n v="29932.89"/>
    <x v="2"/>
    <n v="89798.67"/>
  </r>
  <r>
    <n v="1312"/>
    <x v="311"/>
    <s v="MALE"/>
    <n v="51"/>
    <x v="4"/>
    <d v="2024-07-05T00:00:00"/>
    <x v="3"/>
    <s v="Gadgets"/>
    <n v="1"/>
    <n v="46584"/>
    <x v="1"/>
    <n v="46584"/>
  </r>
  <r>
    <n v="1313"/>
    <x v="312"/>
    <s v="FeMALE"/>
    <n v="32"/>
    <x v="2"/>
    <d v="2024-04-06T00:00:00"/>
    <x v="1"/>
    <s v="Electronics"/>
    <n v="3"/>
    <n v="7122.03"/>
    <x v="3"/>
    <n v="21366.09"/>
  </r>
  <r>
    <n v="1314"/>
    <x v="313"/>
    <s v="Other"/>
    <n v="31"/>
    <x v="0"/>
    <d v="2023-02-07T00:00:00"/>
    <x v="5"/>
    <s v="Accessories"/>
    <n v="5"/>
    <n v="25894.11"/>
    <x v="3"/>
    <n v="129470.55"/>
  </r>
  <r>
    <n v="1315"/>
    <x v="314"/>
    <s v="Other"/>
    <n v="61"/>
    <x v="2"/>
    <d v="2024-10-18T00:00:00"/>
    <x v="1"/>
    <s v="Electronics"/>
    <n v="3"/>
    <n v="34357.96"/>
    <x v="1"/>
    <n v="103073.88"/>
  </r>
  <r>
    <n v="1316"/>
    <x v="315"/>
    <s v="MALE"/>
    <n v="39"/>
    <x v="3"/>
    <d v="2023-10-09T00:00:00"/>
    <x v="5"/>
    <s v="Electronics"/>
    <n v="3"/>
    <n v="9005.57"/>
    <x v="0"/>
    <n v="27016.71"/>
  </r>
  <r>
    <n v="1317"/>
    <x v="316"/>
    <s v="MALE"/>
    <n v="54"/>
    <x v="3"/>
    <d v="2024-01-27T00:00:00"/>
    <x v="4"/>
    <s v="Electronics"/>
    <n v="3"/>
    <n v="1057.3599999999999"/>
    <x v="3"/>
    <n v="3172.08"/>
  </r>
  <r>
    <n v="1318"/>
    <x v="317"/>
    <s v="MALE"/>
    <n v="30"/>
    <x v="4"/>
    <d v="2024-03-03T00:00:00"/>
    <x v="2"/>
    <s v="Electronics"/>
    <n v="3"/>
    <n v="44440.31"/>
    <x v="0"/>
    <n v="133320.93"/>
  </r>
  <r>
    <n v="1319"/>
    <x v="318"/>
    <s v="Other"/>
    <n v="44"/>
    <x v="3"/>
    <d v="2024-10-02T00:00:00"/>
    <x v="4"/>
    <s v="Electronics"/>
    <n v="3"/>
    <n v="2243.9499999999998"/>
    <x v="3"/>
    <n v="6731.8499999999995"/>
  </r>
  <r>
    <n v="1320"/>
    <x v="319"/>
    <s v="MALE"/>
    <n v="36"/>
    <x v="0"/>
    <d v="2024-02-03T00:00:00"/>
    <x v="1"/>
    <s v="Accessories"/>
    <n v="5"/>
    <n v="13244.19"/>
    <x v="2"/>
    <n v="66220.95"/>
  </r>
  <r>
    <n v="1321"/>
    <x v="320"/>
    <s v="FeMALE"/>
    <n v="55"/>
    <x v="0"/>
    <d v="2024-07-21T00:00:00"/>
    <x v="1"/>
    <s v="Electronics"/>
    <n v="5"/>
    <n v="32758.36"/>
    <x v="4"/>
    <n v="163791.79999999999"/>
  </r>
  <r>
    <n v="1322"/>
    <x v="321"/>
    <s v="MALE"/>
    <n v="53"/>
    <x v="0"/>
    <d v="2023-06-30T00:00:00"/>
    <x v="4"/>
    <s v="Gadgets"/>
    <n v="3"/>
    <n v="14646.26"/>
    <x v="0"/>
    <n v="43938.78"/>
  </r>
  <r>
    <n v="1323"/>
    <x v="322"/>
    <s v="Other"/>
    <n v="30"/>
    <x v="2"/>
    <d v="2023-08-14T00:00:00"/>
    <x v="0"/>
    <s v="Electronics"/>
    <n v="4"/>
    <n v="980.53"/>
    <x v="2"/>
    <n v="3922.12"/>
  </r>
  <r>
    <n v="1324"/>
    <x v="323"/>
    <s v="Other"/>
    <n v="59"/>
    <x v="1"/>
    <d v="2023-08-27T00:00:00"/>
    <x v="1"/>
    <s v="Electronics"/>
    <n v="2"/>
    <n v="28984.87"/>
    <x v="3"/>
    <n v="57969.74"/>
  </r>
  <r>
    <n v="1325"/>
    <x v="324"/>
    <s v="MALE"/>
    <n v="53"/>
    <x v="1"/>
    <d v="2023-09-10T00:00:00"/>
    <x v="0"/>
    <s v="Accessories"/>
    <n v="3"/>
    <n v="15735.72"/>
    <x v="0"/>
    <n v="47207.159999999996"/>
  </r>
  <r>
    <n v="1326"/>
    <x v="325"/>
    <s v="FeMALE"/>
    <n v="43"/>
    <x v="0"/>
    <d v="2023-01-01T00:00:00"/>
    <x v="4"/>
    <s v="Electronics"/>
    <n v="2"/>
    <n v="7999.95"/>
    <x v="3"/>
    <n v="15999.9"/>
  </r>
  <r>
    <n v="1327"/>
    <x v="326"/>
    <s v="FeMALE"/>
    <n v="55"/>
    <x v="1"/>
    <d v="2023-05-23T00:00:00"/>
    <x v="0"/>
    <s v="Accessories"/>
    <n v="2"/>
    <n v="48578.52"/>
    <x v="4"/>
    <n v="97157.04"/>
  </r>
  <r>
    <n v="1328"/>
    <x v="327"/>
    <s v="Other"/>
    <n v="19"/>
    <x v="2"/>
    <d v="2023-09-12T00:00:00"/>
    <x v="3"/>
    <s v="Gadgets"/>
    <n v="1"/>
    <n v="8666.1299999999992"/>
    <x v="2"/>
    <n v="8666.1299999999992"/>
  </r>
  <r>
    <n v="1329"/>
    <x v="328"/>
    <s v="FeMALE"/>
    <n v="62"/>
    <x v="1"/>
    <d v="2023-04-10T00:00:00"/>
    <x v="0"/>
    <s v="Accessories"/>
    <n v="1"/>
    <n v="36498.15"/>
    <x v="3"/>
    <n v="36498.15"/>
  </r>
  <r>
    <n v="1330"/>
    <x v="329"/>
    <s v="Other"/>
    <n v="59"/>
    <x v="4"/>
    <d v="2023-12-18T00:00:00"/>
    <x v="2"/>
    <s v="Accessories"/>
    <n v="5"/>
    <n v="44590.85"/>
    <x v="0"/>
    <n v="222954.25"/>
  </r>
  <r>
    <n v="1331"/>
    <x v="330"/>
    <s v="MALE"/>
    <n v="61"/>
    <x v="4"/>
    <d v="2023-10-23T00:00:00"/>
    <x v="1"/>
    <s v="Electronics"/>
    <n v="1"/>
    <n v="43006.400000000001"/>
    <x v="2"/>
    <n v="43006.400000000001"/>
  </r>
  <r>
    <n v="1332"/>
    <x v="331"/>
    <s v="FeMALE"/>
    <n v="18"/>
    <x v="0"/>
    <d v="2024-08-06T00:00:00"/>
    <x v="5"/>
    <s v="Electronics"/>
    <n v="4"/>
    <n v="9620.7199999999993"/>
    <x v="4"/>
    <n v="38482.879999999997"/>
  </r>
  <r>
    <n v="1333"/>
    <x v="332"/>
    <s v="FeMALE"/>
    <n v="33"/>
    <x v="0"/>
    <d v="2024-10-18T00:00:00"/>
    <x v="3"/>
    <s v="Electronics"/>
    <n v="5"/>
    <n v="12222.02"/>
    <x v="1"/>
    <n v="61110.100000000006"/>
  </r>
  <r>
    <n v="1334"/>
    <x v="333"/>
    <s v="MALE"/>
    <n v="46"/>
    <x v="2"/>
    <d v="2023-07-09T00:00:00"/>
    <x v="1"/>
    <s v="Electronics"/>
    <n v="4"/>
    <n v="1408.95"/>
    <x v="1"/>
    <n v="5635.8"/>
  </r>
  <r>
    <n v="1335"/>
    <x v="334"/>
    <s v="FeMALE"/>
    <n v="58"/>
    <x v="0"/>
    <d v="2023-03-11T00:00:00"/>
    <x v="4"/>
    <s v="Gadgets"/>
    <n v="4"/>
    <n v="46604.57"/>
    <x v="2"/>
    <n v="186418.28"/>
  </r>
  <r>
    <n v="1336"/>
    <x v="335"/>
    <s v="FeMALE"/>
    <n v="24"/>
    <x v="4"/>
    <d v="2024-11-21T00:00:00"/>
    <x v="1"/>
    <s v="Electronics"/>
    <n v="3"/>
    <n v="44412.5"/>
    <x v="1"/>
    <n v="133237.5"/>
  </r>
  <r>
    <n v="1337"/>
    <x v="336"/>
    <s v="Other"/>
    <n v="50"/>
    <x v="0"/>
    <d v="2024-07-24T00:00:00"/>
    <x v="5"/>
    <s v="Electronics"/>
    <n v="1"/>
    <n v="29975.58"/>
    <x v="4"/>
    <n v="29975.58"/>
  </r>
  <r>
    <n v="1338"/>
    <x v="337"/>
    <s v="Other"/>
    <n v="44"/>
    <x v="0"/>
    <d v="2024-09-19T00:00:00"/>
    <x v="1"/>
    <s v="Gadgets"/>
    <n v="3"/>
    <n v="5913.7"/>
    <x v="3"/>
    <n v="17741.099999999999"/>
  </r>
  <r>
    <n v="1339"/>
    <x v="338"/>
    <s v="MALE"/>
    <n v="38"/>
    <x v="4"/>
    <d v="2024-04-08T00:00:00"/>
    <x v="4"/>
    <s v="Accessories"/>
    <n v="2"/>
    <n v="9090.36"/>
    <x v="4"/>
    <n v="18180.72"/>
  </r>
  <r>
    <n v="1340"/>
    <x v="339"/>
    <s v="Other"/>
    <n v="56"/>
    <x v="3"/>
    <d v="2023-03-19T00:00:00"/>
    <x v="5"/>
    <s v="Gadgets"/>
    <n v="5"/>
    <n v="29059.54"/>
    <x v="1"/>
    <n v="145297.70000000001"/>
  </r>
  <r>
    <n v="1341"/>
    <x v="340"/>
    <s v="MALE"/>
    <n v="19"/>
    <x v="4"/>
    <d v="2023-08-18T00:00:00"/>
    <x v="0"/>
    <s v="Electronics"/>
    <n v="5"/>
    <n v="12957.02"/>
    <x v="3"/>
    <n v="64785.100000000006"/>
  </r>
  <r>
    <n v="1342"/>
    <x v="341"/>
    <s v="Other"/>
    <n v="34"/>
    <x v="3"/>
    <d v="2024-06-07T00:00:00"/>
    <x v="4"/>
    <s v="Accessories"/>
    <n v="1"/>
    <n v="15358.51"/>
    <x v="3"/>
    <n v="15358.51"/>
  </r>
  <r>
    <n v="1343"/>
    <x v="342"/>
    <s v="MALE"/>
    <n v="43"/>
    <x v="3"/>
    <d v="2024-08-14T00:00:00"/>
    <x v="5"/>
    <s v="Electronics"/>
    <n v="3"/>
    <n v="8963.8700000000008"/>
    <x v="1"/>
    <n v="26891.61"/>
  </r>
  <r>
    <n v="1344"/>
    <x v="343"/>
    <s v="Other"/>
    <n v="37"/>
    <x v="3"/>
    <d v="2023-08-12T00:00:00"/>
    <x v="2"/>
    <s v="Accessories"/>
    <n v="3"/>
    <n v="9884.7900000000009"/>
    <x v="2"/>
    <n v="29654.370000000003"/>
  </r>
  <r>
    <n v="1345"/>
    <x v="344"/>
    <s v="Other"/>
    <n v="48"/>
    <x v="0"/>
    <d v="2023-04-21T00:00:00"/>
    <x v="0"/>
    <s v="Gadgets"/>
    <n v="2"/>
    <n v="23439.35"/>
    <x v="3"/>
    <n v="46878.7"/>
  </r>
  <r>
    <n v="1346"/>
    <x v="345"/>
    <s v="MALE"/>
    <n v="18"/>
    <x v="0"/>
    <d v="2024-05-12T00:00:00"/>
    <x v="0"/>
    <s v="Gadgets"/>
    <n v="4"/>
    <n v="25738.76"/>
    <x v="4"/>
    <n v="102955.04"/>
  </r>
  <r>
    <n v="1347"/>
    <x v="346"/>
    <s v="Other"/>
    <n v="60"/>
    <x v="2"/>
    <d v="2024-02-23T00:00:00"/>
    <x v="2"/>
    <s v="Gadgets"/>
    <n v="1"/>
    <n v="25823.200000000001"/>
    <x v="1"/>
    <n v="25823.200000000001"/>
  </r>
  <r>
    <n v="1348"/>
    <x v="347"/>
    <s v="MALE"/>
    <n v="39"/>
    <x v="1"/>
    <d v="2024-09-10T00:00:00"/>
    <x v="3"/>
    <s v="Accessories"/>
    <n v="3"/>
    <n v="49858.37"/>
    <x v="3"/>
    <n v="149575.11000000002"/>
  </r>
  <r>
    <n v="1349"/>
    <x v="348"/>
    <s v="Other"/>
    <n v="51"/>
    <x v="3"/>
    <d v="2023-09-08T00:00:00"/>
    <x v="5"/>
    <s v="Gadgets"/>
    <n v="2"/>
    <n v="6914.99"/>
    <x v="1"/>
    <n v="13829.98"/>
  </r>
  <r>
    <n v="1350"/>
    <x v="349"/>
    <s v="MALE"/>
    <n v="19"/>
    <x v="4"/>
    <d v="2023-08-02T00:00:00"/>
    <x v="3"/>
    <s v="Electronics"/>
    <n v="2"/>
    <n v="37930.410000000003"/>
    <x v="1"/>
    <n v="75860.820000000007"/>
  </r>
  <r>
    <n v="1351"/>
    <x v="350"/>
    <s v="FeMALE"/>
    <n v="43"/>
    <x v="3"/>
    <d v="2024-11-15T00:00:00"/>
    <x v="2"/>
    <s v="Electronics"/>
    <n v="1"/>
    <n v="39790.959999999999"/>
    <x v="3"/>
    <n v="39790.959999999999"/>
  </r>
  <r>
    <n v="1352"/>
    <x v="351"/>
    <s v="Other"/>
    <n v="56"/>
    <x v="0"/>
    <d v="2023-07-18T00:00:00"/>
    <x v="0"/>
    <s v="Gadgets"/>
    <n v="2"/>
    <n v="29451.69"/>
    <x v="2"/>
    <n v="58903.38"/>
  </r>
  <r>
    <n v="1353"/>
    <x v="352"/>
    <s v="FeMALE"/>
    <n v="30"/>
    <x v="0"/>
    <d v="2023-11-25T00:00:00"/>
    <x v="4"/>
    <s v="Electronics"/>
    <n v="5"/>
    <n v="23405.54"/>
    <x v="1"/>
    <n v="117027.70000000001"/>
  </r>
  <r>
    <n v="1354"/>
    <x v="353"/>
    <s v="MALE"/>
    <n v="36"/>
    <x v="1"/>
    <d v="2023-12-05T00:00:00"/>
    <x v="5"/>
    <s v="Gadgets"/>
    <n v="2"/>
    <n v="44724.62"/>
    <x v="0"/>
    <n v="89449.24"/>
  </r>
  <r>
    <n v="1355"/>
    <x v="354"/>
    <s v="Other"/>
    <n v="31"/>
    <x v="3"/>
    <d v="2023-09-21T00:00:00"/>
    <x v="3"/>
    <s v="Electronics"/>
    <n v="1"/>
    <n v="41494.92"/>
    <x v="4"/>
    <n v="41494.92"/>
  </r>
  <r>
    <n v="1356"/>
    <x v="355"/>
    <s v="Other"/>
    <n v="31"/>
    <x v="3"/>
    <d v="2024-08-08T00:00:00"/>
    <x v="0"/>
    <s v="Accessories"/>
    <n v="3"/>
    <n v="2989.4"/>
    <x v="0"/>
    <n v="8968.2000000000007"/>
  </r>
  <r>
    <n v="1357"/>
    <x v="356"/>
    <s v="Other"/>
    <n v="42"/>
    <x v="3"/>
    <d v="2023-08-01T00:00:00"/>
    <x v="1"/>
    <s v="Accessories"/>
    <n v="2"/>
    <n v="48167.7"/>
    <x v="3"/>
    <n v="96335.4"/>
  </r>
  <r>
    <n v="1358"/>
    <x v="357"/>
    <s v="MALE"/>
    <n v="62"/>
    <x v="1"/>
    <d v="2024-09-23T00:00:00"/>
    <x v="4"/>
    <s v="Electronics"/>
    <n v="3"/>
    <n v="863.32"/>
    <x v="3"/>
    <n v="2589.96"/>
  </r>
  <r>
    <n v="1359"/>
    <x v="358"/>
    <s v="FeMALE"/>
    <n v="44"/>
    <x v="4"/>
    <d v="2023-03-30T00:00:00"/>
    <x v="4"/>
    <s v="Accessories"/>
    <n v="1"/>
    <n v="28870.04"/>
    <x v="3"/>
    <n v="28870.04"/>
  </r>
  <r>
    <n v="1360"/>
    <x v="359"/>
    <s v="Other"/>
    <n v="37"/>
    <x v="4"/>
    <d v="2023-09-07T00:00:00"/>
    <x v="1"/>
    <s v="Gadgets"/>
    <n v="4"/>
    <n v="28835.33"/>
    <x v="2"/>
    <n v="115341.32"/>
  </r>
  <r>
    <n v="1361"/>
    <x v="360"/>
    <s v="FeMALE"/>
    <n v="57"/>
    <x v="2"/>
    <d v="2023-10-29T00:00:00"/>
    <x v="4"/>
    <s v="Electronics"/>
    <n v="2"/>
    <n v="41801.79"/>
    <x v="2"/>
    <n v="83603.58"/>
  </r>
  <r>
    <n v="1362"/>
    <x v="361"/>
    <s v="FeMALE"/>
    <n v="52"/>
    <x v="1"/>
    <d v="2024-11-07T00:00:00"/>
    <x v="3"/>
    <s v="Gadgets"/>
    <n v="2"/>
    <n v="19543.45"/>
    <x v="3"/>
    <n v="39086.9"/>
  </r>
  <r>
    <n v="1363"/>
    <x v="362"/>
    <s v="FeMALE"/>
    <n v="33"/>
    <x v="3"/>
    <d v="2024-02-28T00:00:00"/>
    <x v="2"/>
    <s v="Electronics"/>
    <n v="1"/>
    <n v="5006.5200000000004"/>
    <x v="2"/>
    <n v="5006.5200000000004"/>
  </r>
  <r>
    <n v="1364"/>
    <x v="363"/>
    <s v="FeMALE"/>
    <n v="55"/>
    <x v="3"/>
    <d v="2023-10-21T00:00:00"/>
    <x v="4"/>
    <s v="Gadgets"/>
    <n v="4"/>
    <n v="29293.52"/>
    <x v="1"/>
    <n v="117174.08"/>
  </r>
  <r>
    <n v="1365"/>
    <x v="364"/>
    <s v="MALE"/>
    <n v="56"/>
    <x v="2"/>
    <d v="2024-01-26T00:00:00"/>
    <x v="0"/>
    <s v="Accessories"/>
    <n v="3"/>
    <n v="1729.87"/>
    <x v="4"/>
    <n v="5189.6099999999997"/>
  </r>
  <r>
    <n v="1366"/>
    <x v="365"/>
    <s v="FeMALE"/>
    <n v="50"/>
    <x v="2"/>
    <d v="2023-02-13T00:00:00"/>
    <x v="3"/>
    <s v="Gadgets"/>
    <n v="2"/>
    <n v="18408.89"/>
    <x v="1"/>
    <n v="36817.78"/>
  </r>
  <r>
    <n v="1367"/>
    <x v="366"/>
    <s v="Other"/>
    <n v="54"/>
    <x v="4"/>
    <d v="2024-11-29T00:00:00"/>
    <x v="3"/>
    <s v="Gadgets"/>
    <n v="5"/>
    <n v="49273.18"/>
    <x v="0"/>
    <n v="246365.9"/>
  </r>
  <r>
    <n v="1368"/>
    <x v="367"/>
    <s v="FeMALE"/>
    <n v="52"/>
    <x v="0"/>
    <d v="2024-09-22T00:00:00"/>
    <x v="3"/>
    <s v="Electronics"/>
    <n v="5"/>
    <n v="43504.55"/>
    <x v="2"/>
    <n v="217522.75"/>
  </r>
  <r>
    <n v="1369"/>
    <x v="368"/>
    <s v="MALE"/>
    <n v="64"/>
    <x v="3"/>
    <d v="2024-10-31T00:00:00"/>
    <x v="1"/>
    <s v="Gadgets"/>
    <n v="3"/>
    <n v="8048.59"/>
    <x v="4"/>
    <n v="24145.77"/>
  </r>
  <r>
    <n v="1370"/>
    <x v="369"/>
    <s v="MALE"/>
    <n v="19"/>
    <x v="0"/>
    <d v="2023-02-18T00:00:00"/>
    <x v="0"/>
    <s v="Gadgets"/>
    <n v="2"/>
    <n v="40041.89"/>
    <x v="0"/>
    <n v="80083.78"/>
  </r>
  <r>
    <n v="1371"/>
    <x v="370"/>
    <s v="Other"/>
    <n v="50"/>
    <x v="2"/>
    <d v="2023-07-03T00:00:00"/>
    <x v="1"/>
    <s v="Gadgets"/>
    <n v="1"/>
    <n v="40644.35"/>
    <x v="1"/>
    <n v="40644.35"/>
  </r>
  <r>
    <n v="1372"/>
    <x v="371"/>
    <s v="Other"/>
    <n v="48"/>
    <x v="4"/>
    <d v="2023-02-15T00:00:00"/>
    <x v="1"/>
    <s v="Electronics"/>
    <n v="1"/>
    <n v="46446.26"/>
    <x v="3"/>
    <n v="46446.26"/>
  </r>
  <r>
    <n v="1373"/>
    <x v="372"/>
    <s v="FeMALE"/>
    <n v="55"/>
    <x v="4"/>
    <d v="2024-06-04T00:00:00"/>
    <x v="4"/>
    <s v="Accessories"/>
    <n v="4"/>
    <n v="11607.02"/>
    <x v="4"/>
    <n v="46428.08"/>
  </r>
  <r>
    <n v="1374"/>
    <x v="373"/>
    <s v="MALE"/>
    <n v="25"/>
    <x v="1"/>
    <d v="2023-10-18T00:00:00"/>
    <x v="0"/>
    <s v="Gadgets"/>
    <n v="2"/>
    <n v="25198.89"/>
    <x v="2"/>
    <n v="50397.78"/>
  </r>
  <r>
    <n v="1375"/>
    <x v="374"/>
    <s v="MALE"/>
    <n v="50"/>
    <x v="0"/>
    <d v="2023-01-30T00:00:00"/>
    <x v="1"/>
    <s v="Gadgets"/>
    <n v="3"/>
    <n v="41458.480000000003"/>
    <x v="4"/>
    <n v="124375.44"/>
  </r>
  <r>
    <n v="1376"/>
    <x v="375"/>
    <s v="MALE"/>
    <n v="61"/>
    <x v="2"/>
    <d v="2023-09-14T00:00:00"/>
    <x v="0"/>
    <s v="Accessories"/>
    <n v="5"/>
    <n v="33533.019999999997"/>
    <x v="4"/>
    <n v="167665.09999999998"/>
  </r>
  <r>
    <n v="1377"/>
    <x v="376"/>
    <s v="Other"/>
    <n v="59"/>
    <x v="0"/>
    <d v="2023-07-27T00:00:00"/>
    <x v="1"/>
    <s v="Accessories"/>
    <n v="5"/>
    <n v="29899.84"/>
    <x v="2"/>
    <n v="149499.20000000001"/>
  </r>
  <r>
    <n v="1378"/>
    <x v="377"/>
    <s v="Other"/>
    <n v="23"/>
    <x v="3"/>
    <d v="2023-09-18T00:00:00"/>
    <x v="4"/>
    <s v="Accessories"/>
    <n v="1"/>
    <n v="32772.800000000003"/>
    <x v="1"/>
    <n v="32772.800000000003"/>
  </r>
  <r>
    <n v="1379"/>
    <x v="378"/>
    <s v="MALE"/>
    <n v="19"/>
    <x v="1"/>
    <d v="2023-11-24T00:00:00"/>
    <x v="0"/>
    <s v="Accessories"/>
    <n v="4"/>
    <n v="12306.54"/>
    <x v="4"/>
    <n v="49226.16"/>
  </r>
  <r>
    <n v="1380"/>
    <x v="379"/>
    <s v="FeMALE"/>
    <n v="51"/>
    <x v="0"/>
    <d v="2024-01-21T00:00:00"/>
    <x v="0"/>
    <s v="Electronics"/>
    <n v="3"/>
    <n v="1764.23"/>
    <x v="1"/>
    <n v="5292.6900000000005"/>
  </r>
  <r>
    <n v="1381"/>
    <x v="380"/>
    <s v="FeMALE"/>
    <n v="48"/>
    <x v="3"/>
    <d v="2024-01-28T00:00:00"/>
    <x v="3"/>
    <s v="Electronics"/>
    <n v="2"/>
    <n v="36944.730000000003"/>
    <x v="3"/>
    <n v="73889.460000000006"/>
  </r>
  <r>
    <n v="1382"/>
    <x v="381"/>
    <s v="FeMALE"/>
    <n v="36"/>
    <x v="2"/>
    <d v="2024-02-15T00:00:00"/>
    <x v="0"/>
    <s v="Accessories"/>
    <n v="2"/>
    <n v="16676.2"/>
    <x v="3"/>
    <n v="33352.400000000001"/>
  </r>
  <r>
    <n v="1383"/>
    <x v="382"/>
    <s v="Other"/>
    <n v="35"/>
    <x v="3"/>
    <d v="2023-10-24T00:00:00"/>
    <x v="0"/>
    <s v="Electronics"/>
    <n v="1"/>
    <n v="19149.47"/>
    <x v="2"/>
    <n v="19149.47"/>
  </r>
  <r>
    <n v="1384"/>
    <x v="383"/>
    <s v="FeMALE"/>
    <n v="36"/>
    <x v="0"/>
    <d v="2023-12-12T00:00:00"/>
    <x v="3"/>
    <s v="Electronics"/>
    <n v="3"/>
    <n v="30824.49"/>
    <x v="1"/>
    <n v="92473.47"/>
  </r>
  <r>
    <n v="1385"/>
    <x v="384"/>
    <s v="FeMALE"/>
    <n v="49"/>
    <x v="3"/>
    <d v="2024-08-05T00:00:00"/>
    <x v="1"/>
    <s v="Electronics"/>
    <n v="1"/>
    <n v="33029.67"/>
    <x v="0"/>
    <n v="33029.67"/>
  </r>
  <r>
    <n v="1386"/>
    <x v="385"/>
    <s v="MALE"/>
    <n v="25"/>
    <x v="1"/>
    <d v="2023-09-21T00:00:00"/>
    <x v="5"/>
    <s v="Accessories"/>
    <n v="4"/>
    <n v="10543.5"/>
    <x v="2"/>
    <n v="42174"/>
  </r>
  <r>
    <n v="1387"/>
    <x v="386"/>
    <s v="FeMALE"/>
    <n v="39"/>
    <x v="4"/>
    <d v="2023-09-02T00:00:00"/>
    <x v="2"/>
    <s v="Electronics"/>
    <n v="1"/>
    <n v="41388.559999999998"/>
    <x v="2"/>
    <n v="41388.559999999998"/>
  </r>
  <r>
    <n v="1388"/>
    <x v="387"/>
    <s v="Other"/>
    <n v="36"/>
    <x v="1"/>
    <d v="2023-02-08T00:00:00"/>
    <x v="3"/>
    <s v="Gadgets"/>
    <n v="1"/>
    <n v="19320.23"/>
    <x v="1"/>
    <n v="19320.23"/>
  </r>
  <r>
    <n v="1389"/>
    <x v="388"/>
    <s v="MALE"/>
    <n v="64"/>
    <x v="3"/>
    <d v="2023-07-29T00:00:00"/>
    <x v="2"/>
    <s v="Accessories"/>
    <n v="3"/>
    <n v="31771.35"/>
    <x v="0"/>
    <n v="95314.049999999988"/>
  </r>
  <r>
    <n v="1390"/>
    <x v="389"/>
    <s v="MALE"/>
    <n v="62"/>
    <x v="2"/>
    <d v="2024-05-22T00:00:00"/>
    <x v="4"/>
    <s v="Electronics"/>
    <n v="5"/>
    <n v="48337.37"/>
    <x v="1"/>
    <n v="241686.85"/>
  </r>
  <r>
    <n v="1391"/>
    <x v="390"/>
    <s v="MALE"/>
    <n v="45"/>
    <x v="0"/>
    <d v="2023-06-07T00:00:00"/>
    <x v="2"/>
    <s v="Accessories"/>
    <n v="2"/>
    <n v="28456.92"/>
    <x v="1"/>
    <n v="56913.84"/>
  </r>
  <r>
    <n v="1392"/>
    <x v="391"/>
    <s v="Other"/>
    <n v="27"/>
    <x v="0"/>
    <d v="2024-05-13T00:00:00"/>
    <x v="3"/>
    <s v="Gadgets"/>
    <n v="1"/>
    <n v="18266.099999999999"/>
    <x v="4"/>
    <n v="18266.099999999999"/>
  </r>
  <r>
    <n v="1393"/>
    <x v="392"/>
    <s v="FeMALE"/>
    <n v="22"/>
    <x v="4"/>
    <d v="2023-08-19T00:00:00"/>
    <x v="2"/>
    <s v="Electronics"/>
    <n v="3"/>
    <n v="31139.02"/>
    <x v="1"/>
    <n v="93417.06"/>
  </r>
  <r>
    <n v="1394"/>
    <x v="393"/>
    <s v="FeMALE"/>
    <n v="31"/>
    <x v="3"/>
    <d v="2024-05-30T00:00:00"/>
    <x v="0"/>
    <s v="Gadgets"/>
    <n v="4"/>
    <n v="25338.76"/>
    <x v="2"/>
    <n v="101355.04"/>
  </r>
  <r>
    <n v="1395"/>
    <x v="394"/>
    <s v="FeMALE"/>
    <n v="41"/>
    <x v="2"/>
    <d v="2023-06-28T00:00:00"/>
    <x v="5"/>
    <s v="Accessories"/>
    <n v="2"/>
    <n v="22892.62"/>
    <x v="0"/>
    <n v="45785.24"/>
  </r>
  <r>
    <n v="1396"/>
    <x v="395"/>
    <s v="MALE"/>
    <n v="49"/>
    <x v="3"/>
    <d v="2024-08-26T00:00:00"/>
    <x v="3"/>
    <s v="Accessories"/>
    <n v="3"/>
    <n v="36747.4"/>
    <x v="4"/>
    <n v="110242.20000000001"/>
  </r>
  <r>
    <n v="1397"/>
    <x v="396"/>
    <s v="MALE"/>
    <n v="55"/>
    <x v="3"/>
    <d v="2024-02-05T00:00:00"/>
    <x v="1"/>
    <s v="Gadgets"/>
    <n v="3"/>
    <n v="46263.25"/>
    <x v="1"/>
    <n v="138789.75"/>
  </r>
  <r>
    <n v="1398"/>
    <x v="397"/>
    <s v="MALE"/>
    <n v="18"/>
    <x v="3"/>
    <d v="2024-11-20T00:00:00"/>
    <x v="0"/>
    <s v="Accessories"/>
    <n v="3"/>
    <n v="24223.94"/>
    <x v="2"/>
    <n v="72671.819999999992"/>
  </r>
  <r>
    <n v="1399"/>
    <x v="398"/>
    <s v="Other"/>
    <n v="36"/>
    <x v="3"/>
    <d v="2023-12-30T00:00:00"/>
    <x v="1"/>
    <s v="Electronics"/>
    <n v="4"/>
    <n v="4867.3900000000003"/>
    <x v="3"/>
    <n v="19469.560000000001"/>
  </r>
  <r>
    <n v="1400"/>
    <x v="399"/>
    <s v="FeMALE"/>
    <n v="49"/>
    <x v="0"/>
    <d v="2023-02-12T00:00:00"/>
    <x v="2"/>
    <s v="Electronics"/>
    <n v="3"/>
    <n v="28697.85"/>
    <x v="0"/>
    <n v="86093.549999999988"/>
  </r>
  <r>
    <n v="1401"/>
    <x v="400"/>
    <s v="Other"/>
    <n v="19"/>
    <x v="4"/>
    <d v="2024-08-05T00:00:00"/>
    <x v="2"/>
    <s v="Electronics"/>
    <n v="3"/>
    <n v="12625.07"/>
    <x v="0"/>
    <n v="37875.21"/>
  </r>
  <r>
    <n v="1402"/>
    <x v="401"/>
    <s v="Other"/>
    <n v="38"/>
    <x v="0"/>
    <d v="2023-01-09T00:00:00"/>
    <x v="1"/>
    <s v="Electronics"/>
    <n v="4"/>
    <n v="2459.11"/>
    <x v="4"/>
    <n v="9836.44"/>
  </r>
  <r>
    <n v="1403"/>
    <x v="402"/>
    <s v="MALE"/>
    <n v="32"/>
    <x v="3"/>
    <d v="2024-11-02T00:00:00"/>
    <x v="5"/>
    <s v="Gadgets"/>
    <n v="4"/>
    <n v="39512.94"/>
    <x v="0"/>
    <n v="158051.76"/>
  </r>
  <r>
    <n v="1404"/>
    <x v="403"/>
    <s v="FeMALE"/>
    <n v="59"/>
    <x v="3"/>
    <d v="2024-06-21T00:00:00"/>
    <x v="2"/>
    <s v="Electronics"/>
    <n v="5"/>
    <n v="14002.03"/>
    <x v="0"/>
    <n v="70010.150000000009"/>
  </r>
  <r>
    <n v="1405"/>
    <x v="404"/>
    <s v="MALE"/>
    <n v="22"/>
    <x v="4"/>
    <d v="2024-02-23T00:00:00"/>
    <x v="2"/>
    <s v="Gadgets"/>
    <n v="5"/>
    <n v="38964.99"/>
    <x v="1"/>
    <n v="194824.94999999998"/>
  </r>
  <r>
    <n v="1406"/>
    <x v="405"/>
    <s v="FeMALE"/>
    <n v="43"/>
    <x v="2"/>
    <d v="2024-01-10T00:00:00"/>
    <x v="1"/>
    <s v="Accessories"/>
    <n v="2"/>
    <n v="24666.34"/>
    <x v="4"/>
    <n v="49332.68"/>
  </r>
  <r>
    <n v="1407"/>
    <x v="406"/>
    <s v="Other"/>
    <n v="37"/>
    <x v="0"/>
    <d v="2024-05-20T00:00:00"/>
    <x v="1"/>
    <s v="Accessories"/>
    <n v="1"/>
    <n v="16237.83"/>
    <x v="1"/>
    <n v="16237.83"/>
  </r>
  <r>
    <n v="1408"/>
    <x v="407"/>
    <s v="Other"/>
    <n v="45"/>
    <x v="4"/>
    <d v="2023-08-14T00:00:00"/>
    <x v="3"/>
    <s v="Gadgets"/>
    <n v="5"/>
    <n v="16044.26"/>
    <x v="3"/>
    <n v="80221.3"/>
  </r>
  <r>
    <n v="1409"/>
    <x v="408"/>
    <s v="MALE"/>
    <n v="46"/>
    <x v="1"/>
    <d v="2023-12-31T00:00:00"/>
    <x v="4"/>
    <s v="Accessories"/>
    <n v="1"/>
    <n v="2580.23"/>
    <x v="0"/>
    <n v="2580.23"/>
  </r>
  <r>
    <n v="1410"/>
    <x v="409"/>
    <s v="Other"/>
    <n v="26"/>
    <x v="2"/>
    <d v="2023-09-19T00:00:00"/>
    <x v="0"/>
    <s v="Gadgets"/>
    <n v="2"/>
    <n v="26952.79"/>
    <x v="2"/>
    <n v="53905.58"/>
  </r>
  <r>
    <n v="1411"/>
    <x v="410"/>
    <s v="Other"/>
    <n v="63"/>
    <x v="1"/>
    <d v="2024-03-23T00:00:00"/>
    <x v="4"/>
    <s v="Gadgets"/>
    <n v="4"/>
    <n v="41265.800000000003"/>
    <x v="2"/>
    <n v="165063.20000000001"/>
  </r>
  <r>
    <n v="1412"/>
    <x v="411"/>
    <s v="Other"/>
    <n v="30"/>
    <x v="4"/>
    <d v="2024-09-20T00:00:00"/>
    <x v="5"/>
    <s v="Electronics"/>
    <n v="4"/>
    <n v="4652.82"/>
    <x v="4"/>
    <n v="18611.28"/>
  </r>
  <r>
    <n v="1413"/>
    <x v="412"/>
    <s v="Other"/>
    <n v="64"/>
    <x v="2"/>
    <d v="2023-04-12T00:00:00"/>
    <x v="5"/>
    <s v="Gadgets"/>
    <n v="5"/>
    <n v="5873.66"/>
    <x v="3"/>
    <n v="29368.3"/>
  </r>
  <r>
    <n v="1414"/>
    <x v="413"/>
    <s v="MALE"/>
    <n v="29"/>
    <x v="3"/>
    <d v="2023-04-05T00:00:00"/>
    <x v="0"/>
    <s v="Electronics"/>
    <n v="1"/>
    <n v="26698.17"/>
    <x v="3"/>
    <n v="26698.17"/>
  </r>
  <r>
    <n v="1415"/>
    <x v="414"/>
    <s v="FeMALE"/>
    <n v="26"/>
    <x v="4"/>
    <d v="2023-01-25T00:00:00"/>
    <x v="1"/>
    <s v="Electronics"/>
    <n v="3"/>
    <n v="33177.019999999997"/>
    <x v="4"/>
    <n v="99531.06"/>
  </r>
  <r>
    <n v="1416"/>
    <x v="415"/>
    <s v="Other"/>
    <n v="28"/>
    <x v="3"/>
    <d v="2023-06-24T00:00:00"/>
    <x v="0"/>
    <s v="Electronics"/>
    <n v="3"/>
    <n v="34889.93"/>
    <x v="4"/>
    <n v="104669.79000000001"/>
  </r>
  <r>
    <n v="1417"/>
    <x v="416"/>
    <s v="MALE"/>
    <n v="41"/>
    <x v="4"/>
    <d v="2024-06-16T00:00:00"/>
    <x v="0"/>
    <s v="Gadgets"/>
    <n v="4"/>
    <n v="16004.47"/>
    <x v="4"/>
    <n v="64017.88"/>
  </r>
  <r>
    <n v="1418"/>
    <x v="417"/>
    <s v="MALE"/>
    <n v="42"/>
    <x v="2"/>
    <d v="2023-01-23T00:00:00"/>
    <x v="4"/>
    <s v="Gadgets"/>
    <n v="3"/>
    <n v="2370"/>
    <x v="3"/>
    <n v="7110"/>
  </r>
  <r>
    <n v="1419"/>
    <x v="418"/>
    <s v="FeMALE"/>
    <n v="43"/>
    <x v="2"/>
    <d v="2023-05-09T00:00:00"/>
    <x v="0"/>
    <s v="Gadgets"/>
    <n v="3"/>
    <n v="21020.86"/>
    <x v="2"/>
    <n v="63062.58"/>
  </r>
  <r>
    <n v="1420"/>
    <x v="419"/>
    <s v="FeMALE"/>
    <n v="36"/>
    <x v="2"/>
    <d v="2024-06-18T00:00:00"/>
    <x v="5"/>
    <s v="Electronics"/>
    <n v="1"/>
    <n v="11689.19"/>
    <x v="0"/>
    <n v="11689.19"/>
  </r>
  <r>
    <n v="1421"/>
    <x v="420"/>
    <s v="FeMALE"/>
    <n v="36"/>
    <x v="3"/>
    <d v="2024-10-29T00:00:00"/>
    <x v="0"/>
    <s v="Accessories"/>
    <n v="4"/>
    <n v="555.17999999999995"/>
    <x v="2"/>
    <n v="2220.7199999999998"/>
  </r>
  <r>
    <n v="1422"/>
    <x v="421"/>
    <s v="MALE"/>
    <n v="23"/>
    <x v="2"/>
    <d v="2023-08-18T00:00:00"/>
    <x v="3"/>
    <s v="Gadgets"/>
    <n v="4"/>
    <n v="34442.97"/>
    <x v="3"/>
    <n v="137771.88"/>
  </r>
  <r>
    <n v="1423"/>
    <x v="422"/>
    <s v="Other"/>
    <n v="60"/>
    <x v="2"/>
    <d v="2023-04-23T00:00:00"/>
    <x v="1"/>
    <s v="Electronics"/>
    <n v="3"/>
    <n v="47627.1"/>
    <x v="2"/>
    <n v="142881.29999999999"/>
  </r>
  <r>
    <n v="1424"/>
    <x v="423"/>
    <s v="Other"/>
    <n v="64"/>
    <x v="4"/>
    <d v="2024-04-29T00:00:00"/>
    <x v="3"/>
    <s v="Accessories"/>
    <n v="1"/>
    <n v="19862.009999999998"/>
    <x v="1"/>
    <n v="19862.009999999998"/>
  </r>
  <r>
    <n v="1425"/>
    <x v="424"/>
    <s v="Other"/>
    <n v="39"/>
    <x v="4"/>
    <d v="2024-07-30T00:00:00"/>
    <x v="1"/>
    <s v="Accessories"/>
    <n v="4"/>
    <n v="15364.77"/>
    <x v="4"/>
    <n v="61459.08"/>
  </r>
  <r>
    <n v="1426"/>
    <x v="425"/>
    <s v="MALE"/>
    <n v="27"/>
    <x v="0"/>
    <d v="2023-02-15T00:00:00"/>
    <x v="4"/>
    <s v="Gadgets"/>
    <n v="5"/>
    <n v="27910.71"/>
    <x v="1"/>
    <n v="139553.54999999999"/>
  </r>
  <r>
    <n v="1427"/>
    <x v="426"/>
    <s v="Other"/>
    <n v="60"/>
    <x v="1"/>
    <d v="2023-02-08T00:00:00"/>
    <x v="3"/>
    <s v="Gadgets"/>
    <n v="3"/>
    <n v="42672.82"/>
    <x v="2"/>
    <n v="128018.45999999999"/>
  </r>
  <r>
    <n v="1428"/>
    <x v="427"/>
    <s v="MALE"/>
    <n v="31"/>
    <x v="0"/>
    <d v="2024-11-28T00:00:00"/>
    <x v="2"/>
    <s v="Accessories"/>
    <n v="1"/>
    <n v="39850.89"/>
    <x v="2"/>
    <n v="39850.89"/>
  </r>
  <r>
    <n v="1429"/>
    <x v="428"/>
    <s v="MALE"/>
    <n v="36"/>
    <x v="3"/>
    <d v="2023-02-22T00:00:00"/>
    <x v="3"/>
    <s v="Electronics"/>
    <n v="4"/>
    <n v="34395.46"/>
    <x v="0"/>
    <n v="137581.84"/>
  </r>
  <r>
    <n v="1430"/>
    <x v="429"/>
    <s v="Other"/>
    <n v="41"/>
    <x v="0"/>
    <d v="2023-10-16T00:00:00"/>
    <x v="5"/>
    <s v="Accessories"/>
    <n v="4"/>
    <n v="21889.3"/>
    <x v="3"/>
    <n v="87557.2"/>
  </r>
  <r>
    <n v="1431"/>
    <x v="430"/>
    <s v="FeMALE"/>
    <n v="63"/>
    <x v="3"/>
    <d v="2023-07-27T00:00:00"/>
    <x v="4"/>
    <s v="Accessories"/>
    <n v="1"/>
    <n v="34676.480000000003"/>
    <x v="4"/>
    <n v="34676.480000000003"/>
  </r>
  <r>
    <n v="1432"/>
    <x v="431"/>
    <s v="Other"/>
    <n v="49"/>
    <x v="4"/>
    <d v="2024-01-25T00:00:00"/>
    <x v="3"/>
    <s v="Accessories"/>
    <n v="5"/>
    <n v="11193.25"/>
    <x v="1"/>
    <n v="55966.25"/>
  </r>
  <r>
    <n v="1433"/>
    <x v="432"/>
    <s v="Other"/>
    <n v="51"/>
    <x v="2"/>
    <d v="2023-06-11T00:00:00"/>
    <x v="1"/>
    <s v="Electronics"/>
    <n v="3"/>
    <n v="14555.2"/>
    <x v="1"/>
    <n v="43665.600000000006"/>
  </r>
  <r>
    <n v="1434"/>
    <x v="433"/>
    <s v="MALE"/>
    <n v="32"/>
    <x v="4"/>
    <d v="2024-03-24T00:00:00"/>
    <x v="4"/>
    <s v="Accessories"/>
    <n v="4"/>
    <n v="39002.120000000003"/>
    <x v="3"/>
    <n v="156008.48000000001"/>
  </r>
  <r>
    <n v="1435"/>
    <x v="434"/>
    <s v="Other"/>
    <n v="58"/>
    <x v="4"/>
    <d v="2024-03-13T00:00:00"/>
    <x v="2"/>
    <s v="Electronics"/>
    <n v="3"/>
    <n v="46534.02"/>
    <x v="0"/>
    <n v="139602.06"/>
  </r>
  <r>
    <n v="1436"/>
    <x v="435"/>
    <s v="FeMALE"/>
    <n v="26"/>
    <x v="4"/>
    <d v="2024-07-19T00:00:00"/>
    <x v="1"/>
    <s v="Gadgets"/>
    <n v="5"/>
    <n v="9907.4500000000007"/>
    <x v="0"/>
    <n v="49537.25"/>
  </r>
  <r>
    <n v="1437"/>
    <x v="436"/>
    <s v="Other"/>
    <n v="19"/>
    <x v="1"/>
    <d v="2024-03-13T00:00:00"/>
    <x v="0"/>
    <s v="Electronics"/>
    <n v="5"/>
    <n v="15155.13"/>
    <x v="0"/>
    <n v="75775.649999999994"/>
  </r>
  <r>
    <n v="1438"/>
    <x v="437"/>
    <s v="MALE"/>
    <n v="40"/>
    <x v="4"/>
    <d v="2023-05-21T00:00:00"/>
    <x v="1"/>
    <s v="Gadgets"/>
    <n v="2"/>
    <n v="807.41"/>
    <x v="2"/>
    <n v="1614.82"/>
  </r>
  <r>
    <n v="1439"/>
    <x v="438"/>
    <s v="Other"/>
    <n v="20"/>
    <x v="0"/>
    <d v="2024-05-25T00:00:00"/>
    <x v="5"/>
    <s v="Gadgets"/>
    <n v="3"/>
    <n v="21862.33"/>
    <x v="3"/>
    <n v="65586.990000000005"/>
  </r>
  <r>
    <n v="1440"/>
    <x v="439"/>
    <s v="MALE"/>
    <n v="40"/>
    <x v="2"/>
    <d v="2023-12-03T00:00:00"/>
    <x v="5"/>
    <s v="Accessories"/>
    <n v="3"/>
    <n v="10909.61"/>
    <x v="2"/>
    <n v="32728.83"/>
  </r>
  <r>
    <n v="1441"/>
    <x v="440"/>
    <s v="FeMALE"/>
    <n v="19"/>
    <x v="4"/>
    <d v="2024-09-22T00:00:00"/>
    <x v="1"/>
    <s v="Gadgets"/>
    <n v="4"/>
    <n v="32250.53"/>
    <x v="0"/>
    <n v="129002.12"/>
  </r>
  <r>
    <n v="1442"/>
    <x v="441"/>
    <s v="MALE"/>
    <n v="26"/>
    <x v="3"/>
    <d v="2024-08-31T00:00:00"/>
    <x v="5"/>
    <s v="Gadgets"/>
    <n v="1"/>
    <n v="35624.67"/>
    <x v="3"/>
    <n v="35624.67"/>
  </r>
  <r>
    <n v="1443"/>
    <x v="442"/>
    <s v="Other"/>
    <n v="25"/>
    <x v="2"/>
    <d v="2024-06-29T00:00:00"/>
    <x v="4"/>
    <s v="Accessories"/>
    <n v="4"/>
    <n v="6379.5"/>
    <x v="0"/>
    <n v="25518"/>
  </r>
  <r>
    <n v="1444"/>
    <x v="443"/>
    <s v="Other"/>
    <n v="41"/>
    <x v="2"/>
    <d v="2023-07-03T00:00:00"/>
    <x v="2"/>
    <s v="Accessories"/>
    <n v="2"/>
    <n v="4566.13"/>
    <x v="0"/>
    <n v="9132.26"/>
  </r>
  <r>
    <n v="1445"/>
    <x v="444"/>
    <s v="Other"/>
    <n v="31"/>
    <x v="3"/>
    <d v="2024-07-20T00:00:00"/>
    <x v="2"/>
    <s v="Gadgets"/>
    <n v="3"/>
    <n v="45363.59"/>
    <x v="1"/>
    <n v="136090.76999999999"/>
  </r>
  <r>
    <n v="1446"/>
    <x v="445"/>
    <s v="FeMALE"/>
    <n v="18"/>
    <x v="1"/>
    <d v="2023-04-16T00:00:00"/>
    <x v="0"/>
    <s v="Gadgets"/>
    <n v="1"/>
    <n v="19767.32"/>
    <x v="4"/>
    <n v="19767.32"/>
  </r>
  <r>
    <n v="1447"/>
    <x v="446"/>
    <s v="Other"/>
    <n v="60"/>
    <x v="3"/>
    <d v="2023-12-08T00:00:00"/>
    <x v="3"/>
    <s v="Gadgets"/>
    <n v="2"/>
    <n v="26903.47"/>
    <x v="2"/>
    <n v="53806.94"/>
  </r>
  <r>
    <n v="1448"/>
    <x v="447"/>
    <s v="Other"/>
    <n v="57"/>
    <x v="0"/>
    <d v="2024-08-16T00:00:00"/>
    <x v="5"/>
    <s v="Accessories"/>
    <n v="3"/>
    <n v="48180.46"/>
    <x v="2"/>
    <n v="144541.38"/>
  </r>
  <r>
    <n v="1449"/>
    <x v="448"/>
    <s v="FeMALE"/>
    <n v="21"/>
    <x v="3"/>
    <d v="2024-05-22T00:00:00"/>
    <x v="5"/>
    <s v="Accessories"/>
    <n v="3"/>
    <n v="38073.17"/>
    <x v="1"/>
    <n v="114219.51"/>
  </r>
  <r>
    <n v="1450"/>
    <x v="449"/>
    <s v="MALE"/>
    <n v="61"/>
    <x v="3"/>
    <d v="2023-03-20T00:00:00"/>
    <x v="2"/>
    <s v="Accessories"/>
    <n v="1"/>
    <n v="16614.240000000002"/>
    <x v="4"/>
    <n v="16614.240000000002"/>
  </r>
  <r>
    <n v="1451"/>
    <x v="450"/>
    <s v="FeMALE"/>
    <n v="61"/>
    <x v="2"/>
    <d v="2024-06-25T00:00:00"/>
    <x v="3"/>
    <s v="Accessories"/>
    <n v="1"/>
    <n v="4749.54"/>
    <x v="0"/>
    <n v="4749.54"/>
  </r>
  <r>
    <n v="1452"/>
    <x v="451"/>
    <s v="FeMALE"/>
    <n v="28"/>
    <x v="3"/>
    <d v="2023-09-26T00:00:00"/>
    <x v="3"/>
    <s v="Electronics"/>
    <n v="1"/>
    <n v="27033.19"/>
    <x v="2"/>
    <n v="27033.19"/>
  </r>
  <r>
    <n v="1453"/>
    <x v="452"/>
    <s v="Other"/>
    <n v="52"/>
    <x v="4"/>
    <d v="2024-07-29T00:00:00"/>
    <x v="2"/>
    <s v="Gadgets"/>
    <n v="3"/>
    <n v="17138.21"/>
    <x v="0"/>
    <n v="51414.63"/>
  </r>
  <r>
    <n v="1454"/>
    <x v="453"/>
    <s v="Other"/>
    <n v="51"/>
    <x v="2"/>
    <d v="2023-05-16T00:00:00"/>
    <x v="1"/>
    <s v="Gadgets"/>
    <n v="4"/>
    <n v="1573.43"/>
    <x v="4"/>
    <n v="6293.72"/>
  </r>
  <r>
    <n v="1455"/>
    <x v="454"/>
    <s v="MALE"/>
    <n v="29"/>
    <x v="2"/>
    <d v="2023-03-12T00:00:00"/>
    <x v="2"/>
    <s v="Accessories"/>
    <n v="4"/>
    <n v="38672.04"/>
    <x v="3"/>
    <n v="154688.16"/>
  </r>
  <r>
    <n v="1456"/>
    <x v="455"/>
    <s v="Other"/>
    <n v="20"/>
    <x v="2"/>
    <d v="2023-11-16T00:00:00"/>
    <x v="0"/>
    <s v="Gadgets"/>
    <n v="5"/>
    <n v="19553"/>
    <x v="1"/>
    <n v="97765"/>
  </r>
  <r>
    <n v="1457"/>
    <x v="456"/>
    <s v="MALE"/>
    <n v="28"/>
    <x v="2"/>
    <d v="2024-07-30T00:00:00"/>
    <x v="5"/>
    <s v="Accessories"/>
    <n v="3"/>
    <n v="28780.400000000001"/>
    <x v="3"/>
    <n v="86341.200000000012"/>
  </r>
  <r>
    <n v="1458"/>
    <x v="457"/>
    <s v="MALE"/>
    <n v="45"/>
    <x v="1"/>
    <d v="2023-11-22T00:00:00"/>
    <x v="1"/>
    <s v="Electronics"/>
    <n v="1"/>
    <n v="37909.269999999997"/>
    <x v="3"/>
    <n v="37909.269999999997"/>
  </r>
  <r>
    <n v="1459"/>
    <x v="458"/>
    <s v="MALE"/>
    <n v="23"/>
    <x v="4"/>
    <d v="2024-09-20T00:00:00"/>
    <x v="3"/>
    <s v="Accessories"/>
    <n v="3"/>
    <n v="47071.95"/>
    <x v="2"/>
    <n v="141215.84999999998"/>
  </r>
  <r>
    <n v="1460"/>
    <x v="459"/>
    <s v="Other"/>
    <n v="44"/>
    <x v="1"/>
    <d v="2024-04-04T00:00:00"/>
    <x v="0"/>
    <s v="Accessories"/>
    <n v="4"/>
    <n v="30809.96"/>
    <x v="1"/>
    <n v="123239.84"/>
  </r>
  <r>
    <n v="1461"/>
    <x v="460"/>
    <s v="Other"/>
    <n v="21"/>
    <x v="0"/>
    <d v="2023-12-11T00:00:00"/>
    <x v="5"/>
    <s v="Accessories"/>
    <n v="4"/>
    <n v="16112.11"/>
    <x v="1"/>
    <n v="64448.44"/>
  </r>
  <r>
    <n v="1462"/>
    <x v="461"/>
    <s v="MALE"/>
    <n v="49"/>
    <x v="1"/>
    <d v="2024-02-23T00:00:00"/>
    <x v="4"/>
    <s v="Electronics"/>
    <n v="2"/>
    <n v="5948.79"/>
    <x v="2"/>
    <n v="11897.58"/>
  </r>
  <r>
    <n v="1463"/>
    <x v="462"/>
    <s v="MALE"/>
    <n v="29"/>
    <x v="2"/>
    <d v="2024-11-30T00:00:00"/>
    <x v="3"/>
    <s v="Electronics"/>
    <n v="4"/>
    <n v="4158.9799999999996"/>
    <x v="2"/>
    <n v="16635.919999999998"/>
  </r>
  <r>
    <n v="1464"/>
    <x v="463"/>
    <s v="MALE"/>
    <n v="21"/>
    <x v="4"/>
    <d v="2023-12-25T00:00:00"/>
    <x v="1"/>
    <s v="Accessories"/>
    <n v="5"/>
    <n v="16324.69"/>
    <x v="3"/>
    <n v="81623.45"/>
  </r>
  <r>
    <n v="1465"/>
    <x v="464"/>
    <s v="FeMALE"/>
    <n v="19"/>
    <x v="1"/>
    <d v="2024-04-17T00:00:00"/>
    <x v="3"/>
    <s v="Electronics"/>
    <n v="2"/>
    <n v="33211.54"/>
    <x v="2"/>
    <n v="66423.08"/>
  </r>
  <r>
    <n v="1466"/>
    <x v="465"/>
    <s v="Other"/>
    <n v="31"/>
    <x v="1"/>
    <d v="2023-02-03T00:00:00"/>
    <x v="5"/>
    <s v="Gadgets"/>
    <n v="1"/>
    <n v="34910.03"/>
    <x v="0"/>
    <n v="34910.03"/>
  </r>
  <r>
    <n v="1467"/>
    <x v="466"/>
    <s v="FeMALE"/>
    <n v="35"/>
    <x v="4"/>
    <d v="2023-01-04T00:00:00"/>
    <x v="4"/>
    <s v="Gadgets"/>
    <n v="5"/>
    <n v="10782.04"/>
    <x v="1"/>
    <n v="53910.200000000004"/>
  </r>
  <r>
    <n v="1468"/>
    <x v="467"/>
    <s v="Other"/>
    <n v="26"/>
    <x v="1"/>
    <d v="2024-02-19T00:00:00"/>
    <x v="4"/>
    <s v="Electronics"/>
    <n v="5"/>
    <n v="4598.3999999999996"/>
    <x v="1"/>
    <n v="22992"/>
  </r>
  <r>
    <n v="1469"/>
    <x v="468"/>
    <s v="MALE"/>
    <n v="56"/>
    <x v="4"/>
    <d v="2024-02-11T00:00:00"/>
    <x v="4"/>
    <s v="Electronics"/>
    <n v="3"/>
    <n v="15622.78"/>
    <x v="1"/>
    <n v="46868.340000000004"/>
  </r>
  <r>
    <n v="1470"/>
    <x v="469"/>
    <s v="FeMALE"/>
    <n v="22"/>
    <x v="0"/>
    <d v="2023-07-01T00:00:00"/>
    <x v="2"/>
    <s v="Electronics"/>
    <n v="4"/>
    <n v="27604.94"/>
    <x v="0"/>
    <n v="110419.76"/>
  </r>
  <r>
    <n v="1471"/>
    <x v="470"/>
    <s v="FeMALE"/>
    <n v="24"/>
    <x v="1"/>
    <d v="2023-12-25T00:00:00"/>
    <x v="4"/>
    <s v="Accessories"/>
    <n v="2"/>
    <n v="37856.15"/>
    <x v="2"/>
    <n v="75712.3"/>
  </r>
  <r>
    <n v="1472"/>
    <x v="471"/>
    <s v="FeMALE"/>
    <n v="30"/>
    <x v="4"/>
    <d v="2024-08-31T00:00:00"/>
    <x v="1"/>
    <s v="Accessories"/>
    <n v="4"/>
    <n v="26718.04"/>
    <x v="2"/>
    <n v="106872.16"/>
  </r>
  <r>
    <n v="1473"/>
    <x v="472"/>
    <s v="FeMALE"/>
    <n v="27"/>
    <x v="2"/>
    <d v="2024-08-17T00:00:00"/>
    <x v="3"/>
    <s v="Electronics"/>
    <n v="2"/>
    <n v="14705.7"/>
    <x v="4"/>
    <n v="29411.4"/>
  </r>
  <r>
    <n v="1474"/>
    <x v="473"/>
    <s v="FeMALE"/>
    <n v="23"/>
    <x v="4"/>
    <d v="2024-09-22T00:00:00"/>
    <x v="3"/>
    <s v="Accessories"/>
    <n v="1"/>
    <n v="31396.9"/>
    <x v="0"/>
    <n v="31396.9"/>
  </r>
  <r>
    <n v="1475"/>
    <x v="474"/>
    <s v="Other"/>
    <n v="33"/>
    <x v="4"/>
    <d v="2024-11-07T00:00:00"/>
    <x v="5"/>
    <s v="Gadgets"/>
    <n v="1"/>
    <n v="13609.41"/>
    <x v="1"/>
    <n v="13609.41"/>
  </r>
  <r>
    <n v="1476"/>
    <x v="475"/>
    <s v="Other"/>
    <n v="38"/>
    <x v="2"/>
    <d v="2023-12-31T00:00:00"/>
    <x v="0"/>
    <s v="Electronics"/>
    <n v="3"/>
    <n v="32808.300000000003"/>
    <x v="4"/>
    <n v="98424.900000000009"/>
  </r>
  <r>
    <n v="1477"/>
    <x v="476"/>
    <s v="MALE"/>
    <n v="49"/>
    <x v="1"/>
    <d v="2023-09-20T00:00:00"/>
    <x v="2"/>
    <s v="Gadgets"/>
    <n v="5"/>
    <n v="42173.95"/>
    <x v="4"/>
    <n v="210869.75"/>
  </r>
  <r>
    <n v="1478"/>
    <x v="477"/>
    <s v="FeMALE"/>
    <n v="44"/>
    <x v="2"/>
    <d v="2023-04-26T00:00:00"/>
    <x v="4"/>
    <s v="Gadgets"/>
    <n v="3"/>
    <n v="32127.919999999998"/>
    <x v="0"/>
    <n v="96383.76"/>
  </r>
  <r>
    <n v="1479"/>
    <x v="478"/>
    <s v="MALE"/>
    <n v="25"/>
    <x v="1"/>
    <d v="2024-11-09T00:00:00"/>
    <x v="3"/>
    <s v="Accessories"/>
    <n v="3"/>
    <n v="28498.76"/>
    <x v="0"/>
    <n v="85496.28"/>
  </r>
  <r>
    <n v="1480"/>
    <x v="479"/>
    <s v="Other"/>
    <n v="61"/>
    <x v="3"/>
    <d v="2024-05-08T00:00:00"/>
    <x v="4"/>
    <s v="Accessories"/>
    <n v="4"/>
    <n v="15703.53"/>
    <x v="2"/>
    <n v="62814.12"/>
  </r>
  <r>
    <n v="1481"/>
    <x v="480"/>
    <s v="Other"/>
    <n v="20"/>
    <x v="4"/>
    <d v="2023-08-29T00:00:00"/>
    <x v="4"/>
    <s v="Gadgets"/>
    <n v="3"/>
    <n v="43900.46"/>
    <x v="4"/>
    <n v="131701.38"/>
  </r>
  <r>
    <n v="1482"/>
    <x v="481"/>
    <s v="FeMALE"/>
    <n v="50"/>
    <x v="3"/>
    <d v="2023-08-15T00:00:00"/>
    <x v="3"/>
    <s v="Accessories"/>
    <n v="4"/>
    <n v="49446.68"/>
    <x v="1"/>
    <n v="197786.72"/>
  </r>
  <r>
    <n v="1483"/>
    <x v="482"/>
    <s v="FeMALE"/>
    <n v="64"/>
    <x v="3"/>
    <d v="2024-11-02T00:00:00"/>
    <x v="2"/>
    <s v="Electronics"/>
    <n v="3"/>
    <n v="38985.230000000003"/>
    <x v="4"/>
    <n v="116955.69"/>
  </r>
  <r>
    <n v="1484"/>
    <x v="483"/>
    <s v="Other"/>
    <n v="29"/>
    <x v="0"/>
    <d v="2023-03-04T00:00:00"/>
    <x v="3"/>
    <s v="Accessories"/>
    <n v="2"/>
    <n v="28895.37"/>
    <x v="0"/>
    <n v="57790.74"/>
  </r>
  <r>
    <n v="1485"/>
    <x v="484"/>
    <s v="MALE"/>
    <n v="36"/>
    <x v="2"/>
    <d v="2024-01-13T00:00:00"/>
    <x v="5"/>
    <s v="Gadgets"/>
    <n v="4"/>
    <n v="7493.33"/>
    <x v="3"/>
    <n v="29973.32"/>
  </r>
  <r>
    <n v="1486"/>
    <x v="485"/>
    <s v="MALE"/>
    <n v="62"/>
    <x v="2"/>
    <d v="2024-03-22T00:00:00"/>
    <x v="4"/>
    <s v="Accessories"/>
    <n v="4"/>
    <n v="16088.99"/>
    <x v="1"/>
    <n v="64355.96"/>
  </r>
  <r>
    <n v="1487"/>
    <x v="486"/>
    <s v="FeMALE"/>
    <n v="18"/>
    <x v="2"/>
    <d v="2023-02-04T00:00:00"/>
    <x v="0"/>
    <s v="Accessories"/>
    <n v="1"/>
    <n v="18659.54"/>
    <x v="1"/>
    <n v="18659.54"/>
  </r>
  <r>
    <n v="1488"/>
    <x v="487"/>
    <s v="MALE"/>
    <n v="55"/>
    <x v="4"/>
    <d v="2023-02-12T00:00:00"/>
    <x v="5"/>
    <s v="Accessories"/>
    <n v="5"/>
    <n v="14948.81"/>
    <x v="3"/>
    <n v="74744.05"/>
  </r>
  <r>
    <n v="1489"/>
    <x v="488"/>
    <s v="FeMALE"/>
    <n v="27"/>
    <x v="2"/>
    <d v="2024-02-09T00:00:00"/>
    <x v="5"/>
    <s v="Accessories"/>
    <n v="5"/>
    <n v="22574.66"/>
    <x v="0"/>
    <n v="112873.3"/>
  </r>
  <r>
    <n v="1490"/>
    <x v="489"/>
    <s v="FeMALE"/>
    <n v="44"/>
    <x v="0"/>
    <d v="2023-04-01T00:00:00"/>
    <x v="3"/>
    <s v="Accessories"/>
    <n v="1"/>
    <n v="30726.31"/>
    <x v="2"/>
    <n v="30726.31"/>
  </r>
  <r>
    <n v="1491"/>
    <x v="490"/>
    <s v="MALE"/>
    <n v="38"/>
    <x v="4"/>
    <d v="2024-11-21T00:00:00"/>
    <x v="0"/>
    <s v="Accessories"/>
    <n v="5"/>
    <n v="11039.27"/>
    <x v="0"/>
    <n v="55196.350000000006"/>
  </r>
  <r>
    <n v="1492"/>
    <x v="491"/>
    <s v="MALE"/>
    <n v="33"/>
    <x v="0"/>
    <d v="2023-10-06T00:00:00"/>
    <x v="2"/>
    <s v="Accessories"/>
    <n v="3"/>
    <n v="12863.11"/>
    <x v="2"/>
    <n v="38589.33"/>
  </r>
  <r>
    <n v="1493"/>
    <x v="492"/>
    <s v="MALE"/>
    <n v="19"/>
    <x v="0"/>
    <d v="2023-01-03T00:00:00"/>
    <x v="4"/>
    <s v="Electronics"/>
    <n v="2"/>
    <n v="6051.45"/>
    <x v="0"/>
    <n v="12102.9"/>
  </r>
  <r>
    <n v="1494"/>
    <x v="493"/>
    <s v="Other"/>
    <n v="23"/>
    <x v="4"/>
    <d v="2024-03-23T00:00:00"/>
    <x v="1"/>
    <s v="Accessories"/>
    <n v="4"/>
    <n v="15725.64"/>
    <x v="2"/>
    <n v="62902.559999999998"/>
  </r>
  <r>
    <n v="1495"/>
    <x v="494"/>
    <s v="Other"/>
    <n v="20"/>
    <x v="1"/>
    <d v="2023-05-09T00:00:00"/>
    <x v="3"/>
    <s v="Gadgets"/>
    <n v="1"/>
    <n v="25123.69"/>
    <x v="2"/>
    <n v="25123.69"/>
  </r>
  <r>
    <n v="1496"/>
    <x v="495"/>
    <s v="MALE"/>
    <n v="43"/>
    <x v="1"/>
    <d v="2024-08-27T00:00:00"/>
    <x v="0"/>
    <s v="Gadgets"/>
    <n v="4"/>
    <n v="24745.49"/>
    <x v="0"/>
    <n v="98981.96"/>
  </r>
  <r>
    <n v="1497"/>
    <x v="496"/>
    <s v="Other"/>
    <n v="46"/>
    <x v="1"/>
    <d v="2023-12-26T00:00:00"/>
    <x v="0"/>
    <s v="Electronics"/>
    <n v="4"/>
    <n v="49781.07"/>
    <x v="4"/>
    <n v="199124.28"/>
  </r>
  <r>
    <n v="1498"/>
    <x v="497"/>
    <s v="MALE"/>
    <n v="37"/>
    <x v="3"/>
    <d v="2023-09-19T00:00:00"/>
    <x v="2"/>
    <s v="Electronics"/>
    <n v="2"/>
    <n v="49064.87"/>
    <x v="2"/>
    <n v="98129.74"/>
  </r>
  <r>
    <n v="1499"/>
    <x v="498"/>
    <s v="Other"/>
    <n v="61"/>
    <x v="1"/>
    <d v="2023-07-20T00:00:00"/>
    <x v="1"/>
    <s v="Electronics"/>
    <n v="4"/>
    <n v="22109.86"/>
    <x v="1"/>
    <n v="88439.44"/>
  </r>
  <r>
    <n v="1500"/>
    <x v="499"/>
    <s v="MALE"/>
    <n v="35"/>
    <x v="3"/>
    <d v="2023-01-10T00:00:00"/>
    <x v="4"/>
    <s v="Gadgets"/>
    <n v="3"/>
    <n v="48615.02"/>
    <x v="4"/>
    <n v="145845.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35C4F-A99A-45BC-B2C1-C4B98791D1D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O25:P31" firstHeaderRow="1" firstDataRow="1" firstDataCol="1"/>
  <pivotFields count="12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6">
        <item x="0"/>
        <item x="3"/>
        <item x="2"/>
        <item x="1"/>
        <item x="4"/>
        <item t="default"/>
      </items>
    </pivotField>
    <pivotField dataField="1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55889-A105-417F-8842-5ECD7645C14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39" firstHeaderRow="1" firstDataRow="1" firstDataCol="1"/>
  <pivotFields count="12">
    <pivotField showAll="0"/>
    <pivotField showAll="0"/>
    <pivotField showAll="0"/>
    <pivotField showAll="0"/>
    <pivotField showAll="0"/>
    <pivotField numFmtId="14" showAll="0"/>
    <pivotField axis="axisRow" showAll="0">
      <items count="7">
        <item x="2"/>
        <item x="1"/>
        <item x="3"/>
        <item x="0"/>
        <item x="4"/>
        <item x="5"/>
        <item t="default"/>
      </items>
    </pivotField>
    <pivotField showAll="0"/>
    <pivotField showAll="0"/>
    <pivotField showAll="0"/>
    <pivotField axis="axisRow" showAll="0">
      <items count="6">
        <item x="0"/>
        <item x="3"/>
        <item x="2"/>
        <item x="1"/>
        <item x="4"/>
        <item t="default"/>
      </items>
    </pivotField>
    <pivotField dataField="1" showAll="0"/>
  </pivotFields>
  <rowFields count="2">
    <field x="10"/>
    <field x="6"/>
  </rowFields>
  <rowItems count="36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total sale" fld="11" baseField="0" baseItem="0"/>
  </dataFields>
  <formats count="1"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53776D-0B42-480A-98EB-D05391BC6A3A}" autoFormatId="16" applyNumberFormats="0" applyBorderFormats="0" applyFontFormats="0" applyPatternFormats="0" applyAlignmentFormats="0" applyWidthHeightFormats="0">
  <queryTableRefresh nextId="14" unboundColumnsRight="1">
    <queryTableFields count="12">
      <queryTableField id="1" name="Customer_ID" tableColumnId="1"/>
      <queryTableField id="2" name="Name" tableColumnId="2"/>
      <queryTableField id="3" name="Gender" tableColumnId="3"/>
      <queryTableField id="4" name="Age" tableColumnId="4"/>
      <queryTableField id="5" name="City" tableColumnId="5"/>
      <queryTableField id="6" name="Purchase_Date" tableColumnId="6"/>
      <queryTableField id="7" name="Product" tableColumnId="7"/>
      <queryTableField id="8" name="Category" tableColumnId="8"/>
      <queryTableField id="9" name="Quantity" tableColumnId="9"/>
      <queryTableField id="10" name="Price" tableColumnId="10"/>
      <queryTableField id="11" name="Payment_Mode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DBECB8-5EF4-46B5-A937-8C808D18219D}" name="customer_project_data_500_rows" displayName="customer_project_data_500_rows" ref="A1:L502" tableType="queryTable" totalsRowCount="1">
  <autoFilter ref="A1:L501" xr:uid="{AFDBECB8-5EF4-46B5-A937-8C808D18219D}"/>
  <tableColumns count="12">
    <tableColumn id="1" xr3:uid="{4691B16D-EDB6-4B2B-B86F-1339D70F5A6F}" uniqueName="1" name="Customer_ID" queryTableFieldId="1"/>
    <tableColumn id="2" xr3:uid="{DB81BF1F-253C-46D1-AC49-071E73876997}" uniqueName="2" name="Name" queryTableFieldId="2" dataDxfId="15" totalsRowDxfId="7"/>
    <tableColumn id="3" xr3:uid="{3DC970F4-0D00-4FCA-AAB0-93BFE671C1F2}" uniqueName="3" name="Gender" queryTableFieldId="3" dataDxfId="14" totalsRowDxfId="6"/>
    <tableColumn id="4" xr3:uid="{F93B097A-9D46-41B2-8CCB-F04D26B04EB2}" uniqueName="4" name="Age" totalsRowFunction="average" queryTableFieldId="4"/>
    <tableColumn id="5" xr3:uid="{471B2819-F7A8-4BBD-9E79-3672E797F5D9}" uniqueName="5" name="City" queryTableFieldId="5" dataDxfId="13" totalsRowDxfId="5"/>
    <tableColumn id="6" xr3:uid="{EB02D194-BD04-4F07-B834-50F50E64EC7B}" uniqueName="6" name="Purchase_Date" queryTableFieldId="6" dataDxfId="12" totalsRowDxfId="4"/>
    <tableColumn id="7" xr3:uid="{7D54A042-429B-44EC-A3D2-F8217FE12C39}" uniqueName="7" name="Product" queryTableFieldId="7" dataDxfId="11" totalsRowDxfId="3"/>
    <tableColumn id="8" xr3:uid="{7EBDD262-EFD6-44E5-8B92-FAE262770E6E}" uniqueName="8" name="Category" queryTableFieldId="8" dataDxfId="10" totalsRowDxfId="2"/>
    <tableColumn id="9" xr3:uid="{BF306A09-8732-4875-9213-888C96B3A93C}" uniqueName="9" name="Quantity" queryTableFieldId="9"/>
    <tableColumn id="10" xr3:uid="{EF178BF1-4392-4CEE-8057-386829664798}" uniqueName="10" name="Price" queryTableFieldId="10"/>
    <tableColumn id="11" xr3:uid="{68D571E8-DE97-4269-AF48-22F819F35519}" uniqueName="11" name="Payment_Mode" queryTableFieldId="11" dataDxfId="9" totalsRowDxfId="1"/>
    <tableColumn id="12" xr3:uid="{31D2443D-8DD5-45F8-8976-C6B66ACA1714}" uniqueName="12" name="total sale" totalsRowFunction="sum" queryTableFieldId="12" dataDxfId="8">
      <calculatedColumnFormula>customer_project_data_500_rows[[#This Row],[Quantity]]*customer_project_data_500_rows[[#This Row],[Price]]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5978-9B50-4BE9-B102-B7D4089123A5}">
  <dimension ref="A3:P39"/>
  <sheetViews>
    <sheetView tabSelected="1" topLeftCell="B18" workbookViewId="0">
      <selection activeCell="N28" sqref="N28"/>
    </sheetView>
  </sheetViews>
  <sheetFormatPr defaultRowHeight="14.4" x14ac:dyDescent="0.3"/>
  <cols>
    <col min="1" max="1" width="16.33203125" bestFit="1" customWidth="1"/>
    <col min="2" max="2" width="14.77734375" bestFit="1" customWidth="1"/>
    <col min="3" max="3" width="12" bestFit="1" customWidth="1"/>
    <col min="15" max="15" width="14.21875" bestFit="1" customWidth="1"/>
    <col min="16" max="16" width="14.77734375" bestFit="1" customWidth="1"/>
  </cols>
  <sheetData>
    <row r="3" spans="1:2" x14ac:dyDescent="0.3">
      <c r="A3" s="4" t="s">
        <v>535</v>
      </c>
      <c r="B3" s="3" t="s">
        <v>534</v>
      </c>
    </row>
    <row r="4" spans="1:2" x14ac:dyDescent="0.3">
      <c r="A4" s="5" t="s">
        <v>15</v>
      </c>
      <c r="B4" s="1">
        <v>7406484.6799999997</v>
      </c>
    </row>
    <row r="5" spans="1:2" x14ac:dyDescent="0.3">
      <c r="A5" s="6" t="s">
        <v>22</v>
      </c>
      <c r="B5" s="1">
        <v>2030192.35</v>
      </c>
    </row>
    <row r="6" spans="1:2" x14ac:dyDescent="0.3">
      <c r="A6" s="6" t="s">
        <v>18</v>
      </c>
      <c r="B6" s="1">
        <v>426654.23</v>
      </c>
    </row>
    <row r="7" spans="1:2" x14ac:dyDescent="0.3">
      <c r="A7" s="6" t="s">
        <v>25</v>
      </c>
      <c r="B7" s="1">
        <v>1109074.21</v>
      </c>
    </row>
    <row r="8" spans="1:2" x14ac:dyDescent="0.3">
      <c r="A8" s="6" t="s">
        <v>13</v>
      </c>
      <c r="B8" s="1">
        <v>1238698.1300000001</v>
      </c>
    </row>
    <row r="9" spans="1:2" x14ac:dyDescent="0.3">
      <c r="A9" s="6" t="s">
        <v>30</v>
      </c>
      <c r="B9" s="1">
        <v>888430.12</v>
      </c>
    </row>
    <row r="10" spans="1:2" x14ac:dyDescent="0.3">
      <c r="A10" s="6" t="s">
        <v>34</v>
      </c>
      <c r="B10" s="1">
        <v>1713435.6400000001</v>
      </c>
    </row>
    <row r="11" spans="1:2" x14ac:dyDescent="0.3">
      <c r="A11" s="5" t="s">
        <v>37</v>
      </c>
      <c r="B11" s="1">
        <v>6767441.6099999994</v>
      </c>
    </row>
    <row r="12" spans="1:2" x14ac:dyDescent="0.3">
      <c r="A12" s="6" t="s">
        <v>22</v>
      </c>
      <c r="B12" s="1">
        <v>759884.24</v>
      </c>
    </row>
    <row r="13" spans="1:2" x14ac:dyDescent="0.3">
      <c r="A13" s="6" t="s">
        <v>18</v>
      </c>
      <c r="B13" s="1">
        <v>872628.2300000001</v>
      </c>
    </row>
    <row r="14" spans="1:2" x14ac:dyDescent="0.3">
      <c r="A14" s="6" t="s">
        <v>25</v>
      </c>
      <c r="B14" s="1">
        <v>1541902.3399999999</v>
      </c>
    </row>
    <row r="15" spans="1:2" x14ac:dyDescent="0.3">
      <c r="A15" s="6" t="s">
        <v>13</v>
      </c>
      <c r="B15" s="1">
        <v>969302.66</v>
      </c>
    </row>
    <row r="16" spans="1:2" x14ac:dyDescent="0.3">
      <c r="A16" s="6" t="s">
        <v>30</v>
      </c>
      <c r="B16" s="1">
        <v>1548926.45</v>
      </c>
    </row>
    <row r="17" spans="1:16" x14ac:dyDescent="0.3">
      <c r="A17" s="6" t="s">
        <v>34</v>
      </c>
      <c r="B17" s="1">
        <v>1074797.69</v>
      </c>
    </row>
    <row r="18" spans="1:16" x14ac:dyDescent="0.3">
      <c r="A18" s="5" t="s">
        <v>26</v>
      </c>
      <c r="B18" s="1">
        <v>7245778.1799999997</v>
      </c>
    </row>
    <row r="19" spans="1:16" x14ac:dyDescent="0.3">
      <c r="A19" s="6" t="s">
        <v>22</v>
      </c>
      <c r="B19" s="1">
        <v>533640.01000000013</v>
      </c>
    </row>
    <row r="20" spans="1:16" x14ac:dyDescent="0.3">
      <c r="A20" s="6" t="s">
        <v>18</v>
      </c>
      <c r="B20" s="1">
        <v>1344304.06</v>
      </c>
    </row>
    <row r="21" spans="1:16" x14ac:dyDescent="0.3">
      <c r="A21" s="6" t="s">
        <v>25</v>
      </c>
      <c r="B21" s="1">
        <v>1767220.4599999995</v>
      </c>
    </row>
    <row r="22" spans="1:16" x14ac:dyDescent="0.3">
      <c r="A22" s="6" t="s">
        <v>13</v>
      </c>
      <c r="B22" s="1">
        <v>1009217.9299999999</v>
      </c>
    </row>
    <row r="23" spans="1:16" x14ac:dyDescent="0.3">
      <c r="A23" s="6" t="s">
        <v>30</v>
      </c>
      <c r="B23" s="1">
        <v>1495215.4600000004</v>
      </c>
    </row>
    <row r="24" spans="1:16" x14ac:dyDescent="0.3">
      <c r="A24" s="6" t="s">
        <v>34</v>
      </c>
      <c r="B24" s="1">
        <v>1096180.26</v>
      </c>
    </row>
    <row r="25" spans="1:16" x14ac:dyDescent="0.3">
      <c r="A25" s="5" t="s">
        <v>20</v>
      </c>
      <c r="B25" s="1">
        <v>7940313.25</v>
      </c>
      <c r="O25" s="4" t="s">
        <v>535</v>
      </c>
      <c r="P25" t="s">
        <v>534</v>
      </c>
    </row>
    <row r="26" spans="1:16" x14ac:dyDescent="0.3">
      <c r="A26" s="6" t="s">
        <v>22</v>
      </c>
      <c r="B26" s="1">
        <v>1285144.5099999998</v>
      </c>
      <c r="O26" s="5" t="s">
        <v>15</v>
      </c>
      <c r="P26" s="1">
        <v>7406484.6800000006</v>
      </c>
    </row>
    <row r="27" spans="1:16" x14ac:dyDescent="0.3">
      <c r="A27" s="6" t="s">
        <v>18</v>
      </c>
      <c r="B27" s="1">
        <v>1442710.0500000003</v>
      </c>
      <c r="O27" s="5" t="s">
        <v>37</v>
      </c>
      <c r="P27" s="1">
        <v>6767441.6100000003</v>
      </c>
    </row>
    <row r="28" spans="1:16" x14ac:dyDescent="0.3">
      <c r="A28" s="6" t="s">
        <v>25</v>
      </c>
      <c r="B28" s="1">
        <v>1464361.48</v>
      </c>
      <c r="O28" s="5" t="s">
        <v>26</v>
      </c>
      <c r="P28" s="1">
        <v>7245778.1800000016</v>
      </c>
    </row>
    <row r="29" spans="1:16" x14ac:dyDescent="0.3">
      <c r="A29" s="6" t="s">
        <v>13</v>
      </c>
      <c r="B29" s="1">
        <v>1239092.05</v>
      </c>
      <c r="O29" s="5" t="s">
        <v>20</v>
      </c>
      <c r="P29" s="1">
        <v>7940313.25</v>
      </c>
    </row>
    <row r="30" spans="1:16" x14ac:dyDescent="0.3">
      <c r="A30" s="6" t="s">
        <v>30</v>
      </c>
      <c r="B30" s="1">
        <v>1488078.7</v>
      </c>
      <c r="O30" s="5" t="s">
        <v>39</v>
      </c>
      <c r="P30" s="1">
        <v>6656881.8900000015</v>
      </c>
    </row>
    <row r="31" spans="1:16" x14ac:dyDescent="0.3">
      <c r="A31" s="6" t="s">
        <v>34</v>
      </c>
      <c r="B31" s="1">
        <v>1020926.4600000003</v>
      </c>
      <c r="O31" s="5" t="s">
        <v>536</v>
      </c>
      <c r="P31" s="1">
        <v>36016899.610000007</v>
      </c>
    </row>
    <row r="32" spans="1:16" x14ac:dyDescent="0.3">
      <c r="A32" s="5" t="s">
        <v>39</v>
      </c>
      <c r="B32" s="1">
        <v>6656881.8899999987</v>
      </c>
    </row>
    <row r="33" spans="1:2" x14ac:dyDescent="0.3">
      <c r="A33" s="6" t="s">
        <v>22</v>
      </c>
      <c r="B33" s="1">
        <v>1475499.5999999999</v>
      </c>
    </row>
    <row r="34" spans="1:2" x14ac:dyDescent="0.3">
      <c r="A34" s="6" t="s">
        <v>18</v>
      </c>
      <c r="B34" s="1">
        <v>1035814.0099999999</v>
      </c>
    </row>
    <row r="35" spans="1:2" x14ac:dyDescent="0.3">
      <c r="A35" s="6" t="s">
        <v>25</v>
      </c>
      <c r="B35" s="1">
        <v>985109.13</v>
      </c>
    </row>
    <row r="36" spans="1:2" x14ac:dyDescent="0.3">
      <c r="A36" s="6" t="s">
        <v>13</v>
      </c>
      <c r="B36" s="1">
        <v>1749064.7499999998</v>
      </c>
    </row>
    <row r="37" spans="1:2" x14ac:dyDescent="0.3">
      <c r="A37" s="6" t="s">
        <v>30</v>
      </c>
      <c r="B37" s="1">
        <v>721440.56</v>
      </c>
    </row>
    <row r="38" spans="1:2" x14ac:dyDescent="0.3">
      <c r="A38" s="6" t="s">
        <v>34</v>
      </c>
      <c r="B38" s="1">
        <v>689953.84000000008</v>
      </c>
    </row>
    <row r="39" spans="1:2" x14ac:dyDescent="0.3">
      <c r="A39" s="5" t="s">
        <v>536</v>
      </c>
      <c r="B39" s="1">
        <v>36016899.610000014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537F-86D2-4F3C-800F-FF9806D8DC39}">
  <dimension ref="A1:L1048576"/>
  <sheetViews>
    <sheetView topLeftCell="A2" zoomScale="80" workbookViewId="0">
      <selection activeCell="H25" sqref="H25"/>
    </sheetView>
  </sheetViews>
  <sheetFormatPr defaultRowHeight="14.4" x14ac:dyDescent="0.3"/>
  <cols>
    <col min="1" max="1" width="13.88671875" bestFit="1" customWidth="1"/>
    <col min="2" max="2" width="12.6640625" bestFit="1" customWidth="1"/>
    <col min="3" max="3" width="9.33203125" bestFit="1" customWidth="1"/>
    <col min="4" max="4" width="6.21875" bestFit="1" customWidth="1"/>
    <col min="5" max="5" width="13.5546875" bestFit="1" customWidth="1"/>
    <col min="6" max="6" width="15.6640625" bestFit="1" customWidth="1"/>
    <col min="7" max="7" width="11.21875" bestFit="1" customWidth="1"/>
    <col min="8" max="8" width="10.88671875" bestFit="1" customWidth="1"/>
    <col min="9" max="9" width="10.33203125" bestFit="1" customWidth="1"/>
    <col min="10" max="10" width="9" bestFit="1" customWidth="1"/>
    <col min="11" max="11" width="16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533</v>
      </c>
    </row>
    <row r="2" spans="1:12" x14ac:dyDescent="0.3">
      <c r="A2">
        <v>1001</v>
      </c>
      <c r="B2" s="1" t="s">
        <v>11</v>
      </c>
      <c r="C2" s="1" t="s">
        <v>531</v>
      </c>
      <c r="D2">
        <v>50</v>
      </c>
      <c r="E2" s="1" t="s">
        <v>12</v>
      </c>
      <c r="F2" s="2">
        <v>45415</v>
      </c>
      <c r="G2" s="1" t="s">
        <v>13</v>
      </c>
      <c r="H2" s="1" t="s">
        <v>14</v>
      </c>
      <c r="I2">
        <v>2</v>
      </c>
      <c r="J2">
        <v>7702.24</v>
      </c>
      <c r="K2" s="1" t="s">
        <v>15</v>
      </c>
      <c r="L2" s="1">
        <f>customer_project_data_500_rows[[#This Row],[Quantity]]*customer_project_data_500_rows[[#This Row],[Price]]</f>
        <v>15404.48</v>
      </c>
    </row>
    <row r="3" spans="1:12" x14ac:dyDescent="0.3">
      <c r="A3">
        <v>1002</v>
      </c>
      <c r="B3" s="1" t="s">
        <v>16</v>
      </c>
      <c r="C3" s="1" t="s">
        <v>532</v>
      </c>
      <c r="D3">
        <v>50</v>
      </c>
      <c r="E3" s="1" t="s">
        <v>17</v>
      </c>
      <c r="F3" s="2">
        <v>45141</v>
      </c>
      <c r="G3" s="1" t="s">
        <v>18</v>
      </c>
      <c r="H3" s="1" t="s">
        <v>19</v>
      </c>
      <c r="I3">
        <v>3</v>
      </c>
      <c r="J3">
        <v>11931.61</v>
      </c>
      <c r="K3" s="1" t="s">
        <v>20</v>
      </c>
      <c r="L3" s="1">
        <f>customer_project_data_500_rows[[#This Row],[Quantity]]*customer_project_data_500_rows[[#This Row],[Price]]</f>
        <v>35794.83</v>
      </c>
    </row>
    <row r="4" spans="1:12" x14ac:dyDescent="0.3">
      <c r="A4">
        <v>1003</v>
      </c>
      <c r="B4" s="1" t="s">
        <v>21</v>
      </c>
      <c r="C4" s="1" t="s">
        <v>532</v>
      </c>
      <c r="D4">
        <v>33</v>
      </c>
      <c r="E4" s="1" t="s">
        <v>17</v>
      </c>
      <c r="F4" s="2">
        <v>45084</v>
      </c>
      <c r="G4" s="1" t="s">
        <v>22</v>
      </c>
      <c r="H4" s="1" t="s">
        <v>23</v>
      </c>
      <c r="I4">
        <v>1</v>
      </c>
      <c r="J4">
        <v>14675.67</v>
      </c>
      <c r="K4" s="1" t="s">
        <v>20</v>
      </c>
      <c r="L4" s="1">
        <f>customer_project_data_500_rows[[#This Row],[Quantity]]*customer_project_data_500_rows[[#This Row],[Price]]</f>
        <v>14675.67</v>
      </c>
    </row>
    <row r="5" spans="1:12" x14ac:dyDescent="0.3">
      <c r="A5">
        <v>1004</v>
      </c>
      <c r="B5" s="1" t="s">
        <v>24</v>
      </c>
      <c r="C5" s="1" t="s">
        <v>531</v>
      </c>
      <c r="D5">
        <v>54</v>
      </c>
      <c r="E5" s="1" t="s">
        <v>17</v>
      </c>
      <c r="F5" s="2">
        <v>45434</v>
      </c>
      <c r="G5" s="1" t="s">
        <v>25</v>
      </c>
      <c r="H5" s="1" t="s">
        <v>14</v>
      </c>
      <c r="I5">
        <v>3</v>
      </c>
      <c r="J5">
        <v>41622.19</v>
      </c>
      <c r="K5" s="1" t="s">
        <v>26</v>
      </c>
      <c r="L5" s="1">
        <f>customer_project_data_500_rows[[#This Row],[Quantity]]*customer_project_data_500_rows[[#This Row],[Price]]</f>
        <v>124866.57</v>
      </c>
    </row>
    <row r="6" spans="1:12" x14ac:dyDescent="0.3">
      <c r="A6">
        <v>1005</v>
      </c>
      <c r="B6" s="1" t="s">
        <v>27</v>
      </c>
      <c r="C6" s="1" t="s">
        <v>531</v>
      </c>
      <c r="D6">
        <v>28</v>
      </c>
      <c r="E6" s="1" t="s">
        <v>12</v>
      </c>
      <c r="F6" s="2">
        <v>45364</v>
      </c>
      <c r="G6" s="1" t="s">
        <v>18</v>
      </c>
      <c r="H6" s="1" t="s">
        <v>23</v>
      </c>
      <c r="I6">
        <v>1</v>
      </c>
      <c r="J6">
        <v>8094.34</v>
      </c>
      <c r="K6" s="1" t="s">
        <v>20</v>
      </c>
      <c r="L6" s="1">
        <f>customer_project_data_500_rows[[#This Row],[Quantity]]*customer_project_data_500_rows[[#This Row],[Price]]</f>
        <v>8094.34</v>
      </c>
    </row>
    <row r="7" spans="1:12" x14ac:dyDescent="0.3">
      <c r="A7">
        <v>1006</v>
      </c>
      <c r="B7" s="1" t="s">
        <v>28</v>
      </c>
      <c r="C7" s="1" t="s">
        <v>532</v>
      </c>
      <c r="D7">
        <v>30</v>
      </c>
      <c r="E7" s="1" t="s">
        <v>29</v>
      </c>
      <c r="F7" s="2">
        <v>45468</v>
      </c>
      <c r="G7" s="1" t="s">
        <v>30</v>
      </c>
      <c r="H7" s="1" t="s">
        <v>23</v>
      </c>
      <c r="I7">
        <v>2</v>
      </c>
      <c r="J7">
        <v>27830.87</v>
      </c>
      <c r="K7" s="1" t="s">
        <v>26</v>
      </c>
      <c r="L7" s="1">
        <f>customer_project_data_500_rows[[#This Row],[Quantity]]*customer_project_data_500_rows[[#This Row],[Price]]</f>
        <v>55661.74</v>
      </c>
    </row>
    <row r="8" spans="1:12" x14ac:dyDescent="0.3">
      <c r="A8">
        <v>1007</v>
      </c>
      <c r="B8" s="1" t="s">
        <v>31</v>
      </c>
      <c r="C8" s="1" t="s">
        <v>532</v>
      </c>
      <c r="D8">
        <v>36</v>
      </c>
      <c r="E8" s="1" t="s">
        <v>32</v>
      </c>
      <c r="F8" s="2">
        <v>45477</v>
      </c>
      <c r="G8" s="1" t="s">
        <v>18</v>
      </c>
      <c r="H8" s="1" t="s">
        <v>19</v>
      </c>
      <c r="I8">
        <v>1</v>
      </c>
      <c r="J8">
        <v>28622.92</v>
      </c>
      <c r="K8" s="1" t="s">
        <v>20</v>
      </c>
      <c r="L8" s="1">
        <f>customer_project_data_500_rows[[#This Row],[Quantity]]*customer_project_data_500_rows[[#This Row],[Price]]</f>
        <v>28622.92</v>
      </c>
    </row>
    <row r="9" spans="1:12" x14ac:dyDescent="0.3">
      <c r="A9">
        <v>1008</v>
      </c>
      <c r="B9" s="1" t="s">
        <v>33</v>
      </c>
      <c r="C9" s="1" t="s">
        <v>531</v>
      </c>
      <c r="D9">
        <v>48</v>
      </c>
      <c r="E9" s="1" t="s">
        <v>32</v>
      </c>
      <c r="F9" s="2">
        <v>45517</v>
      </c>
      <c r="G9" s="1" t="s">
        <v>34</v>
      </c>
      <c r="H9" s="1" t="s">
        <v>14</v>
      </c>
      <c r="I9">
        <v>4</v>
      </c>
      <c r="J9">
        <v>17499.29</v>
      </c>
      <c r="K9" s="1" t="s">
        <v>26</v>
      </c>
      <c r="L9" s="1">
        <f>customer_project_data_500_rows[[#This Row],[Quantity]]*customer_project_data_500_rows[[#This Row],[Price]]</f>
        <v>69997.16</v>
      </c>
    </row>
    <row r="10" spans="1:12" x14ac:dyDescent="0.3">
      <c r="A10">
        <v>1009</v>
      </c>
      <c r="B10" s="1" t="s">
        <v>35</v>
      </c>
      <c r="C10" s="1" t="s">
        <v>532</v>
      </c>
      <c r="D10">
        <v>23</v>
      </c>
      <c r="E10" s="1" t="s">
        <v>36</v>
      </c>
      <c r="F10" s="2">
        <v>45431</v>
      </c>
      <c r="G10" s="1" t="s">
        <v>25</v>
      </c>
      <c r="H10" s="1" t="s">
        <v>14</v>
      </c>
      <c r="I10">
        <v>2</v>
      </c>
      <c r="J10">
        <v>17855.55</v>
      </c>
      <c r="K10" s="1" t="s">
        <v>37</v>
      </c>
      <c r="L10" s="1">
        <f>customer_project_data_500_rows[[#This Row],[Quantity]]*customer_project_data_500_rows[[#This Row],[Price]]</f>
        <v>35711.1</v>
      </c>
    </row>
    <row r="11" spans="1:12" x14ac:dyDescent="0.3">
      <c r="A11">
        <v>1010</v>
      </c>
      <c r="B11" s="1" t="s">
        <v>38</v>
      </c>
      <c r="C11" s="1" t="s">
        <v>531</v>
      </c>
      <c r="D11">
        <v>34</v>
      </c>
      <c r="E11" s="1" t="s">
        <v>36</v>
      </c>
      <c r="F11" s="2">
        <v>45225</v>
      </c>
      <c r="G11" s="1" t="s">
        <v>22</v>
      </c>
      <c r="H11" s="1" t="s">
        <v>14</v>
      </c>
      <c r="I11">
        <v>3</v>
      </c>
      <c r="J11">
        <v>47976.04</v>
      </c>
      <c r="K11" s="1" t="s">
        <v>39</v>
      </c>
      <c r="L11" s="1">
        <f>customer_project_data_500_rows[[#This Row],[Quantity]]*customer_project_data_500_rows[[#This Row],[Price]]</f>
        <v>143928.12</v>
      </c>
    </row>
    <row r="12" spans="1:12" x14ac:dyDescent="0.3">
      <c r="A12">
        <v>1011</v>
      </c>
      <c r="B12" s="1" t="s">
        <v>40</v>
      </c>
      <c r="C12" s="1" t="s">
        <v>532</v>
      </c>
      <c r="D12">
        <v>49</v>
      </c>
      <c r="E12" s="1" t="s">
        <v>12</v>
      </c>
      <c r="F12" s="2">
        <v>45155</v>
      </c>
      <c r="G12" s="1" t="s">
        <v>22</v>
      </c>
      <c r="H12" s="1" t="s">
        <v>14</v>
      </c>
      <c r="I12">
        <v>1</v>
      </c>
      <c r="J12">
        <v>27890.53</v>
      </c>
      <c r="K12" s="1" t="s">
        <v>20</v>
      </c>
      <c r="L12" s="1">
        <f>customer_project_data_500_rows[[#This Row],[Quantity]]*customer_project_data_500_rows[[#This Row],[Price]]</f>
        <v>27890.53</v>
      </c>
    </row>
    <row r="13" spans="1:12" x14ac:dyDescent="0.3">
      <c r="A13">
        <v>1012</v>
      </c>
      <c r="B13" s="1" t="s">
        <v>41</v>
      </c>
      <c r="C13" s="1" t="s">
        <v>42</v>
      </c>
      <c r="D13">
        <v>50</v>
      </c>
      <c r="E13" s="1" t="s">
        <v>29</v>
      </c>
      <c r="F13" s="2">
        <v>44995</v>
      </c>
      <c r="G13" s="1" t="s">
        <v>34</v>
      </c>
      <c r="H13" s="1" t="s">
        <v>19</v>
      </c>
      <c r="I13">
        <v>4</v>
      </c>
      <c r="J13">
        <v>32810.19</v>
      </c>
      <c r="K13" s="1" t="s">
        <v>15</v>
      </c>
      <c r="L13" s="1">
        <f>customer_project_data_500_rows[[#This Row],[Quantity]]*customer_project_data_500_rows[[#This Row],[Price]]</f>
        <v>131240.76</v>
      </c>
    </row>
    <row r="14" spans="1:12" x14ac:dyDescent="0.3">
      <c r="A14">
        <v>1013</v>
      </c>
      <c r="B14" s="1" t="s">
        <v>43</v>
      </c>
      <c r="C14" s="1" t="s">
        <v>531</v>
      </c>
      <c r="D14">
        <v>61</v>
      </c>
      <c r="E14" s="1" t="s">
        <v>12</v>
      </c>
      <c r="F14" s="2">
        <v>45483</v>
      </c>
      <c r="G14" s="1" t="s">
        <v>13</v>
      </c>
      <c r="H14" s="1" t="s">
        <v>14</v>
      </c>
      <c r="I14">
        <v>4</v>
      </c>
      <c r="J14">
        <v>24791.64</v>
      </c>
      <c r="K14" s="1" t="s">
        <v>37</v>
      </c>
      <c r="L14" s="1">
        <f>customer_project_data_500_rows[[#This Row],[Quantity]]*customer_project_data_500_rows[[#This Row],[Price]]</f>
        <v>99166.56</v>
      </c>
    </row>
    <row r="15" spans="1:12" x14ac:dyDescent="0.3">
      <c r="A15">
        <v>1014</v>
      </c>
      <c r="B15" s="1" t="s">
        <v>44</v>
      </c>
      <c r="C15" s="1" t="s">
        <v>42</v>
      </c>
      <c r="D15">
        <v>62</v>
      </c>
      <c r="E15" s="1" t="s">
        <v>32</v>
      </c>
      <c r="F15" s="2">
        <v>45028</v>
      </c>
      <c r="G15" s="1" t="s">
        <v>22</v>
      </c>
      <c r="H15" s="1" t="s">
        <v>14</v>
      </c>
      <c r="I15">
        <v>5</v>
      </c>
      <c r="J15">
        <v>32509.17</v>
      </c>
      <c r="K15" s="1" t="s">
        <v>39</v>
      </c>
      <c r="L15" s="1">
        <f>customer_project_data_500_rows[[#This Row],[Quantity]]*customer_project_data_500_rows[[#This Row],[Price]]</f>
        <v>162545.84999999998</v>
      </c>
    </row>
    <row r="16" spans="1:12" x14ac:dyDescent="0.3">
      <c r="A16">
        <v>1015</v>
      </c>
      <c r="B16" s="1" t="s">
        <v>45</v>
      </c>
      <c r="C16" s="1" t="s">
        <v>532</v>
      </c>
      <c r="D16">
        <v>49</v>
      </c>
      <c r="E16" s="1" t="s">
        <v>32</v>
      </c>
      <c r="F16" s="2">
        <v>45000</v>
      </c>
      <c r="G16" s="1" t="s">
        <v>34</v>
      </c>
      <c r="H16" s="1" t="s">
        <v>19</v>
      </c>
      <c r="I16">
        <v>1</v>
      </c>
      <c r="J16">
        <v>30459.91</v>
      </c>
      <c r="K16" s="1" t="s">
        <v>37</v>
      </c>
      <c r="L16" s="1">
        <f>customer_project_data_500_rows[[#This Row],[Quantity]]*customer_project_data_500_rows[[#This Row],[Price]]</f>
        <v>30459.91</v>
      </c>
    </row>
    <row r="17" spans="1:12" x14ac:dyDescent="0.3">
      <c r="A17">
        <v>1016</v>
      </c>
      <c r="B17" s="1" t="s">
        <v>46</v>
      </c>
      <c r="C17" s="1" t="s">
        <v>42</v>
      </c>
      <c r="D17">
        <v>61</v>
      </c>
      <c r="E17" s="1" t="s">
        <v>17</v>
      </c>
      <c r="F17" s="2">
        <v>45007</v>
      </c>
      <c r="G17" s="1" t="s">
        <v>22</v>
      </c>
      <c r="H17" s="1" t="s">
        <v>23</v>
      </c>
      <c r="I17">
        <v>5</v>
      </c>
      <c r="J17">
        <v>7686.08</v>
      </c>
      <c r="K17" s="1" t="s">
        <v>37</v>
      </c>
      <c r="L17" s="1">
        <f>customer_project_data_500_rows[[#This Row],[Quantity]]*customer_project_data_500_rows[[#This Row],[Price]]</f>
        <v>38430.400000000001</v>
      </c>
    </row>
    <row r="18" spans="1:12" x14ac:dyDescent="0.3">
      <c r="A18">
        <v>1017</v>
      </c>
      <c r="B18" s="1" t="s">
        <v>47</v>
      </c>
      <c r="C18" s="1" t="s">
        <v>531</v>
      </c>
      <c r="D18">
        <v>53</v>
      </c>
      <c r="E18" s="1" t="s">
        <v>12</v>
      </c>
      <c r="F18" s="2">
        <v>44962</v>
      </c>
      <c r="G18" s="1" t="s">
        <v>22</v>
      </c>
      <c r="H18" s="1" t="s">
        <v>14</v>
      </c>
      <c r="I18">
        <v>2</v>
      </c>
      <c r="J18">
        <v>17066.689999999999</v>
      </c>
      <c r="K18" s="1" t="s">
        <v>37</v>
      </c>
      <c r="L18" s="1">
        <f>customer_project_data_500_rows[[#This Row],[Quantity]]*customer_project_data_500_rows[[#This Row],[Price]]</f>
        <v>34133.379999999997</v>
      </c>
    </row>
    <row r="19" spans="1:12" x14ac:dyDescent="0.3">
      <c r="A19">
        <v>1018</v>
      </c>
      <c r="B19" s="1" t="s">
        <v>48</v>
      </c>
      <c r="C19" s="1" t="s">
        <v>42</v>
      </c>
      <c r="D19">
        <v>62</v>
      </c>
      <c r="E19" s="1" t="s">
        <v>12</v>
      </c>
      <c r="F19" s="2">
        <v>45157</v>
      </c>
      <c r="G19" s="1" t="s">
        <v>25</v>
      </c>
      <c r="H19" s="1" t="s">
        <v>23</v>
      </c>
      <c r="I19">
        <v>2</v>
      </c>
      <c r="J19">
        <v>23291.48</v>
      </c>
      <c r="K19" s="1" t="s">
        <v>26</v>
      </c>
      <c r="L19" s="1">
        <f>customer_project_data_500_rows[[#This Row],[Quantity]]*customer_project_data_500_rows[[#This Row],[Price]]</f>
        <v>46582.96</v>
      </c>
    </row>
    <row r="20" spans="1:12" x14ac:dyDescent="0.3">
      <c r="A20">
        <v>1019</v>
      </c>
      <c r="B20" s="1" t="s">
        <v>49</v>
      </c>
      <c r="C20" s="1" t="s">
        <v>532</v>
      </c>
      <c r="D20">
        <v>42</v>
      </c>
      <c r="E20" s="1" t="s">
        <v>36</v>
      </c>
      <c r="F20" s="2">
        <v>45383</v>
      </c>
      <c r="G20" s="1" t="s">
        <v>13</v>
      </c>
      <c r="H20" s="1" t="s">
        <v>14</v>
      </c>
      <c r="I20">
        <v>4</v>
      </c>
      <c r="J20">
        <v>6827.17</v>
      </c>
      <c r="K20" s="1" t="s">
        <v>39</v>
      </c>
      <c r="L20" s="1">
        <f>customer_project_data_500_rows[[#This Row],[Quantity]]*customer_project_data_500_rows[[#This Row],[Price]]</f>
        <v>27308.68</v>
      </c>
    </row>
    <row r="21" spans="1:12" x14ac:dyDescent="0.3">
      <c r="A21">
        <v>1020</v>
      </c>
      <c r="B21" s="1" t="s">
        <v>50</v>
      </c>
      <c r="C21" s="1" t="s">
        <v>532</v>
      </c>
      <c r="D21">
        <v>33</v>
      </c>
      <c r="E21" s="1" t="s">
        <v>17</v>
      </c>
      <c r="F21" s="2">
        <v>45070</v>
      </c>
      <c r="G21" s="1" t="s">
        <v>13</v>
      </c>
      <c r="H21" s="1" t="s">
        <v>23</v>
      </c>
      <c r="I21">
        <v>3</v>
      </c>
      <c r="J21">
        <v>18472.13</v>
      </c>
      <c r="K21" s="1" t="s">
        <v>15</v>
      </c>
      <c r="L21" s="1">
        <f>customer_project_data_500_rows[[#This Row],[Quantity]]*customer_project_data_500_rows[[#This Row],[Price]]</f>
        <v>55416.39</v>
      </c>
    </row>
    <row r="22" spans="1:12" x14ac:dyDescent="0.3">
      <c r="A22">
        <v>1021</v>
      </c>
      <c r="B22" s="1" t="s">
        <v>51</v>
      </c>
      <c r="C22" s="1" t="s">
        <v>42</v>
      </c>
      <c r="D22">
        <v>39</v>
      </c>
      <c r="E22" s="1" t="s">
        <v>32</v>
      </c>
      <c r="F22" s="2">
        <v>44966</v>
      </c>
      <c r="G22" s="1" t="s">
        <v>18</v>
      </c>
      <c r="H22" s="1" t="s">
        <v>14</v>
      </c>
      <c r="I22">
        <v>1</v>
      </c>
      <c r="J22">
        <v>11793.01</v>
      </c>
      <c r="K22" s="1" t="s">
        <v>15</v>
      </c>
      <c r="L22" s="1">
        <f>customer_project_data_500_rows[[#This Row],[Quantity]]*customer_project_data_500_rows[[#This Row],[Price]]</f>
        <v>11793.01</v>
      </c>
    </row>
    <row r="23" spans="1:12" x14ac:dyDescent="0.3">
      <c r="A23">
        <v>1022</v>
      </c>
      <c r="B23" s="1" t="s">
        <v>52</v>
      </c>
      <c r="C23" s="1" t="s">
        <v>532</v>
      </c>
      <c r="D23">
        <v>37</v>
      </c>
      <c r="E23" s="1" t="s">
        <v>36</v>
      </c>
      <c r="F23" s="2">
        <v>45569</v>
      </c>
      <c r="G23" s="1" t="s">
        <v>13</v>
      </c>
      <c r="H23" s="1" t="s">
        <v>14</v>
      </c>
      <c r="I23">
        <v>1</v>
      </c>
      <c r="J23">
        <v>42451.38</v>
      </c>
      <c r="K23" s="1" t="s">
        <v>20</v>
      </c>
      <c r="L23" s="1">
        <f>customer_project_data_500_rows[[#This Row],[Quantity]]*customer_project_data_500_rows[[#This Row],[Price]]</f>
        <v>42451.38</v>
      </c>
    </row>
    <row r="24" spans="1:12" x14ac:dyDescent="0.3">
      <c r="A24">
        <v>1023</v>
      </c>
      <c r="B24" s="1" t="s">
        <v>53</v>
      </c>
      <c r="C24" s="1" t="s">
        <v>531</v>
      </c>
      <c r="D24">
        <v>31</v>
      </c>
      <c r="E24" s="1" t="s">
        <v>36</v>
      </c>
      <c r="F24" s="2">
        <v>45552</v>
      </c>
      <c r="G24" s="1" t="s">
        <v>30</v>
      </c>
      <c r="H24" s="1" t="s">
        <v>14</v>
      </c>
      <c r="I24">
        <v>2</v>
      </c>
      <c r="J24">
        <v>17402.97</v>
      </c>
      <c r="K24" s="1" t="s">
        <v>20</v>
      </c>
      <c r="L24" s="1">
        <f>customer_project_data_500_rows[[#This Row],[Quantity]]*customer_project_data_500_rows[[#This Row],[Price]]</f>
        <v>34805.94</v>
      </c>
    </row>
    <row r="25" spans="1:12" x14ac:dyDescent="0.3">
      <c r="A25">
        <v>1024</v>
      </c>
      <c r="B25" s="1" t="s">
        <v>54</v>
      </c>
      <c r="C25" s="1" t="s">
        <v>42</v>
      </c>
      <c r="D25">
        <v>51</v>
      </c>
      <c r="E25" s="1" t="s">
        <v>32</v>
      </c>
      <c r="F25" s="2">
        <v>45346</v>
      </c>
      <c r="G25" s="1" t="s">
        <v>30</v>
      </c>
      <c r="H25" s="1" t="s">
        <v>14</v>
      </c>
      <c r="I25">
        <v>2</v>
      </c>
      <c r="J25">
        <v>11726.07</v>
      </c>
      <c r="K25" s="1" t="s">
        <v>39</v>
      </c>
      <c r="L25" s="1">
        <f>customer_project_data_500_rows[[#This Row],[Quantity]]*customer_project_data_500_rows[[#This Row],[Price]]</f>
        <v>23452.14</v>
      </c>
    </row>
    <row r="26" spans="1:12" x14ac:dyDescent="0.3">
      <c r="A26">
        <v>1025</v>
      </c>
      <c r="B26" s="1" t="s">
        <v>55</v>
      </c>
      <c r="C26" s="1" t="s">
        <v>42</v>
      </c>
      <c r="D26">
        <v>22</v>
      </c>
      <c r="E26" s="1" t="s">
        <v>17</v>
      </c>
      <c r="F26" s="2">
        <v>44942</v>
      </c>
      <c r="G26" s="1" t="s">
        <v>13</v>
      </c>
      <c r="H26" s="1" t="s">
        <v>19</v>
      </c>
      <c r="I26">
        <v>1</v>
      </c>
      <c r="J26">
        <v>20704.98</v>
      </c>
      <c r="K26" s="1" t="s">
        <v>20</v>
      </c>
      <c r="L26" s="1">
        <f>customer_project_data_500_rows[[#This Row],[Quantity]]*customer_project_data_500_rows[[#This Row],[Price]]</f>
        <v>20704.98</v>
      </c>
    </row>
    <row r="27" spans="1:12" x14ac:dyDescent="0.3">
      <c r="A27">
        <v>1026</v>
      </c>
      <c r="B27" s="1" t="s">
        <v>56</v>
      </c>
      <c r="C27" s="1" t="s">
        <v>532</v>
      </c>
      <c r="D27">
        <v>57</v>
      </c>
      <c r="E27" s="1" t="s">
        <v>29</v>
      </c>
      <c r="F27" s="2">
        <v>45070</v>
      </c>
      <c r="G27" s="1" t="s">
        <v>25</v>
      </c>
      <c r="H27" s="1" t="s">
        <v>23</v>
      </c>
      <c r="I27">
        <v>3</v>
      </c>
      <c r="J27">
        <v>34311.67</v>
      </c>
      <c r="K27" s="1" t="s">
        <v>26</v>
      </c>
      <c r="L27" s="1">
        <f>customer_project_data_500_rows[[#This Row],[Quantity]]*customer_project_data_500_rows[[#This Row],[Price]]</f>
        <v>102935.01</v>
      </c>
    </row>
    <row r="28" spans="1:12" x14ac:dyDescent="0.3">
      <c r="A28">
        <v>1027</v>
      </c>
      <c r="B28" s="1" t="s">
        <v>57</v>
      </c>
      <c r="C28" s="1" t="s">
        <v>531</v>
      </c>
      <c r="D28">
        <v>21</v>
      </c>
      <c r="E28" s="1" t="s">
        <v>12</v>
      </c>
      <c r="F28" s="2">
        <v>45405</v>
      </c>
      <c r="G28" s="1" t="s">
        <v>18</v>
      </c>
      <c r="H28" s="1" t="s">
        <v>23</v>
      </c>
      <c r="I28">
        <v>3</v>
      </c>
      <c r="J28">
        <v>3748.29</v>
      </c>
      <c r="K28" s="1" t="s">
        <v>39</v>
      </c>
      <c r="L28" s="1">
        <f>customer_project_data_500_rows[[#This Row],[Quantity]]*customer_project_data_500_rows[[#This Row],[Price]]</f>
        <v>11244.869999999999</v>
      </c>
    </row>
    <row r="29" spans="1:12" x14ac:dyDescent="0.3">
      <c r="A29">
        <v>1028</v>
      </c>
      <c r="B29" s="1" t="s">
        <v>58</v>
      </c>
      <c r="C29" s="1" t="s">
        <v>531</v>
      </c>
      <c r="D29">
        <v>52</v>
      </c>
      <c r="E29" s="1" t="s">
        <v>29</v>
      </c>
      <c r="F29" s="2">
        <v>45505</v>
      </c>
      <c r="G29" s="1" t="s">
        <v>34</v>
      </c>
      <c r="H29" s="1" t="s">
        <v>14</v>
      </c>
      <c r="I29">
        <v>3</v>
      </c>
      <c r="J29">
        <v>9446.1</v>
      </c>
      <c r="K29" s="1" t="s">
        <v>20</v>
      </c>
      <c r="L29" s="1">
        <f>customer_project_data_500_rows[[#This Row],[Quantity]]*customer_project_data_500_rows[[#This Row],[Price]]</f>
        <v>28338.300000000003</v>
      </c>
    </row>
    <row r="30" spans="1:12" x14ac:dyDescent="0.3">
      <c r="A30">
        <v>1029</v>
      </c>
      <c r="B30" s="1" t="s">
        <v>59</v>
      </c>
      <c r="C30" s="1" t="s">
        <v>42</v>
      </c>
      <c r="D30">
        <v>52</v>
      </c>
      <c r="E30" s="1" t="s">
        <v>36</v>
      </c>
      <c r="F30" s="2">
        <v>45560</v>
      </c>
      <c r="G30" s="1" t="s">
        <v>18</v>
      </c>
      <c r="H30" s="1" t="s">
        <v>23</v>
      </c>
      <c r="I30">
        <v>1</v>
      </c>
      <c r="J30">
        <v>34868.19</v>
      </c>
      <c r="K30" s="1" t="s">
        <v>26</v>
      </c>
      <c r="L30" s="1">
        <f>customer_project_data_500_rows[[#This Row],[Quantity]]*customer_project_data_500_rows[[#This Row],[Price]]</f>
        <v>34868.19</v>
      </c>
    </row>
    <row r="31" spans="1:12" x14ac:dyDescent="0.3">
      <c r="A31">
        <v>1030</v>
      </c>
      <c r="B31" s="1" t="s">
        <v>60</v>
      </c>
      <c r="C31" s="1" t="s">
        <v>532</v>
      </c>
      <c r="D31">
        <v>60</v>
      </c>
      <c r="E31" s="1" t="s">
        <v>12</v>
      </c>
      <c r="F31" s="2">
        <v>45201</v>
      </c>
      <c r="G31" s="1" t="s">
        <v>30</v>
      </c>
      <c r="H31" s="1" t="s">
        <v>19</v>
      </c>
      <c r="I31">
        <v>4</v>
      </c>
      <c r="J31">
        <v>37736.699999999997</v>
      </c>
      <c r="K31" s="1" t="s">
        <v>15</v>
      </c>
      <c r="L31" s="1">
        <f>customer_project_data_500_rows[[#This Row],[Quantity]]*customer_project_data_500_rows[[#This Row],[Price]]</f>
        <v>150946.79999999999</v>
      </c>
    </row>
    <row r="32" spans="1:12" x14ac:dyDescent="0.3">
      <c r="A32">
        <v>1031</v>
      </c>
      <c r="B32" s="1" t="s">
        <v>61</v>
      </c>
      <c r="C32" s="1" t="s">
        <v>42</v>
      </c>
      <c r="D32">
        <v>32</v>
      </c>
      <c r="E32" s="1" t="s">
        <v>36</v>
      </c>
      <c r="F32" s="2">
        <v>45157</v>
      </c>
      <c r="G32" s="1" t="s">
        <v>25</v>
      </c>
      <c r="H32" s="1" t="s">
        <v>23</v>
      </c>
      <c r="I32">
        <v>3</v>
      </c>
      <c r="J32">
        <v>31078.84</v>
      </c>
      <c r="K32" s="1" t="s">
        <v>20</v>
      </c>
      <c r="L32" s="1">
        <f>customer_project_data_500_rows[[#This Row],[Quantity]]*customer_project_data_500_rows[[#This Row],[Price]]</f>
        <v>93236.52</v>
      </c>
    </row>
    <row r="33" spans="1:12" x14ac:dyDescent="0.3">
      <c r="A33">
        <v>1032</v>
      </c>
      <c r="B33" s="1" t="s">
        <v>62</v>
      </c>
      <c r="C33" s="1" t="s">
        <v>531</v>
      </c>
      <c r="D33">
        <v>36</v>
      </c>
      <c r="E33" s="1" t="s">
        <v>17</v>
      </c>
      <c r="F33" s="2">
        <v>45307</v>
      </c>
      <c r="G33" s="1" t="s">
        <v>30</v>
      </c>
      <c r="H33" s="1" t="s">
        <v>23</v>
      </c>
      <c r="I33">
        <v>3</v>
      </c>
      <c r="J33">
        <v>44020.33</v>
      </c>
      <c r="K33" s="1" t="s">
        <v>37</v>
      </c>
      <c r="L33" s="1">
        <f>customer_project_data_500_rows[[#This Row],[Quantity]]*customer_project_data_500_rows[[#This Row],[Price]]</f>
        <v>132060.99</v>
      </c>
    </row>
    <row r="34" spans="1:12" x14ac:dyDescent="0.3">
      <c r="A34">
        <v>1033</v>
      </c>
      <c r="B34" s="1" t="s">
        <v>63</v>
      </c>
      <c r="C34" s="1" t="s">
        <v>531</v>
      </c>
      <c r="D34">
        <v>56</v>
      </c>
      <c r="E34" s="1" t="s">
        <v>36</v>
      </c>
      <c r="F34" s="2">
        <v>45073</v>
      </c>
      <c r="G34" s="1" t="s">
        <v>13</v>
      </c>
      <c r="H34" s="1" t="s">
        <v>19</v>
      </c>
      <c r="I34">
        <v>4</v>
      </c>
      <c r="J34">
        <v>8855.61</v>
      </c>
      <c r="K34" s="1" t="s">
        <v>15</v>
      </c>
      <c r="L34" s="1">
        <f>customer_project_data_500_rows[[#This Row],[Quantity]]*customer_project_data_500_rows[[#This Row],[Price]]</f>
        <v>35422.44</v>
      </c>
    </row>
    <row r="35" spans="1:12" x14ac:dyDescent="0.3">
      <c r="A35">
        <v>1034</v>
      </c>
      <c r="B35" s="1" t="s">
        <v>64</v>
      </c>
      <c r="C35" s="1" t="s">
        <v>531</v>
      </c>
      <c r="D35">
        <v>56</v>
      </c>
      <c r="E35" s="1" t="s">
        <v>12</v>
      </c>
      <c r="F35" s="2">
        <v>45592</v>
      </c>
      <c r="G35" s="1" t="s">
        <v>13</v>
      </c>
      <c r="H35" s="1" t="s">
        <v>19</v>
      </c>
      <c r="I35">
        <v>3</v>
      </c>
      <c r="J35">
        <v>35325.61</v>
      </c>
      <c r="K35" s="1" t="s">
        <v>20</v>
      </c>
      <c r="L35" s="1">
        <f>customer_project_data_500_rows[[#This Row],[Quantity]]*customer_project_data_500_rows[[#This Row],[Price]]</f>
        <v>105976.83</v>
      </c>
    </row>
    <row r="36" spans="1:12" x14ac:dyDescent="0.3">
      <c r="A36">
        <v>1035</v>
      </c>
      <c r="B36" s="1" t="s">
        <v>65</v>
      </c>
      <c r="C36" s="1" t="s">
        <v>531</v>
      </c>
      <c r="D36">
        <v>35</v>
      </c>
      <c r="E36" s="1" t="s">
        <v>36</v>
      </c>
      <c r="F36" s="2">
        <v>45232</v>
      </c>
      <c r="G36" s="1" t="s">
        <v>34</v>
      </c>
      <c r="H36" s="1" t="s">
        <v>23</v>
      </c>
      <c r="I36">
        <v>3</v>
      </c>
      <c r="J36">
        <v>45904.38</v>
      </c>
      <c r="K36" s="1" t="s">
        <v>26</v>
      </c>
      <c r="L36" s="1">
        <f>customer_project_data_500_rows[[#This Row],[Quantity]]*customer_project_data_500_rows[[#This Row],[Price]]</f>
        <v>137713.13999999998</v>
      </c>
    </row>
    <row r="37" spans="1:12" x14ac:dyDescent="0.3">
      <c r="A37">
        <v>1036</v>
      </c>
      <c r="B37" s="1" t="s">
        <v>66</v>
      </c>
      <c r="C37" s="1" t="s">
        <v>42</v>
      </c>
      <c r="D37">
        <v>23</v>
      </c>
      <c r="E37" s="1" t="s">
        <v>29</v>
      </c>
      <c r="F37" s="2">
        <v>45220</v>
      </c>
      <c r="G37" s="1" t="s">
        <v>18</v>
      </c>
      <c r="H37" s="1" t="s">
        <v>14</v>
      </c>
      <c r="I37">
        <v>2</v>
      </c>
      <c r="J37">
        <v>7961.61</v>
      </c>
      <c r="K37" s="1" t="s">
        <v>20</v>
      </c>
      <c r="L37" s="1">
        <f>customer_project_data_500_rows[[#This Row],[Quantity]]*customer_project_data_500_rows[[#This Row],[Price]]</f>
        <v>15923.22</v>
      </c>
    </row>
    <row r="38" spans="1:12" x14ac:dyDescent="0.3">
      <c r="A38">
        <v>1037</v>
      </c>
      <c r="B38" s="1" t="s">
        <v>67</v>
      </c>
      <c r="C38" s="1" t="s">
        <v>531</v>
      </c>
      <c r="D38">
        <v>56</v>
      </c>
      <c r="E38" s="1" t="s">
        <v>29</v>
      </c>
      <c r="F38" s="2">
        <v>45459</v>
      </c>
      <c r="G38" s="1" t="s">
        <v>25</v>
      </c>
      <c r="H38" s="1" t="s">
        <v>14</v>
      </c>
      <c r="I38">
        <v>4</v>
      </c>
      <c r="J38">
        <v>12566.32</v>
      </c>
      <c r="K38" s="1" t="s">
        <v>37</v>
      </c>
      <c r="L38" s="1">
        <f>customer_project_data_500_rows[[#This Row],[Quantity]]*customer_project_data_500_rows[[#This Row],[Price]]</f>
        <v>50265.279999999999</v>
      </c>
    </row>
    <row r="39" spans="1:12" x14ac:dyDescent="0.3">
      <c r="A39">
        <v>1038</v>
      </c>
      <c r="B39" s="1" t="s">
        <v>68</v>
      </c>
      <c r="C39" s="1" t="s">
        <v>531</v>
      </c>
      <c r="D39">
        <v>45</v>
      </c>
      <c r="E39" s="1" t="s">
        <v>32</v>
      </c>
      <c r="F39" s="2">
        <v>45223</v>
      </c>
      <c r="G39" s="1" t="s">
        <v>25</v>
      </c>
      <c r="H39" s="1" t="s">
        <v>19</v>
      </c>
      <c r="I39">
        <v>5</v>
      </c>
      <c r="J39">
        <v>27560.89</v>
      </c>
      <c r="K39" s="1" t="s">
        <v>26</v>
      </c>
      <c r="L39" s="1">
        <f>customer_project_data_500_rows[[#This Row],[Quantity]]*customer_project_data_500_rows[[#This Row],[Price]]</f>
        <v>137804.45000000001</v>
      </c>
    </row>
    <row r="40" spans="1:12" x14ac:dyDescent="0.3">
      <c r="A40">
        <v>1039</v>
      </c>
      <c r="B40" s="1" t="s">
        <v>69</v>
      </c>
      <c r="C40" s="1" t="s">
        <v>532</v>
      </c>
      <c r="D40">
        <v>26</v>
      </c>
      <c r="E40" s="1" t="s">
        <v>29</v>
      </c>
      <c r="F40" s="2">
        <v>45235</v>
      </c>
      <c r="G40" s="1" t="s">
        <v>25</v>
      </c>
      <c r="H40" s="1" t="s">
        <v>19</v>
      </c>
      <c r="I40">
        <v>5</v>
      </c>
      <c r="J40">
        <v>17533.91</v>
      </c>
      <c r="K40" s="1" t="s">
        <v>15</v>
      </c>
      <c r="L40" s="1">
        <f>customer_project_data_500_rows[[#This Row],[Quantity]]*customer_project_data_500_rows[[#This Row],[Price]]</f>
        <v>87669.55</v>
      </c>
    </row>
    <row r="41" spans="1:12" x14ac:dyDescent="0.3">
      <c r="A41">
        <v>1040</v>
      </c>
      <c r="B41" s="1" t="s">
        <v>70</v>
      </c>
      <c r="C41" s="1" t="s">
        <v>532</v>
      </c>
      <c r="D41">
        <v>58</v>
      </c>
      <c r="E41" s="1" t="s">
        <v>12</v>
      </c>
      <c r="F41" s="2">
        <v>45165</v>
      </c>
      <c r="G41" s="1" t="s">
        <v>25</v>
      </c>
      <c r="H41" s="1" t="s">
        <v>19</v>
      </c>
      <c r="I41">
        <v>3</v>
      </c>
      <c r="J41">
        <v>34686.629999999997</v>
      </c>
      <c r="K41" s="1" t="s">
        <v>26</v>
      </c>
      <c r="L41" s="1">
        <f>customer_project_data_500_rows[[#This Row],[Quantity]]*customer_project_data_500_rows[[#This Row],[Price]]</f>
        <v>104059.88999999998</v>
      </c>
    </row>
    <row r="42" spans="1:12" x14ac:dyDescent="0.3">
      <c r="A42">
        <v>1041</v>
      </c>
      <c r="B42" s="1" t="s">
        <v>71</v>
      </c>
      <c r="C42" s="1" t="s">
        <v>531</v>
      </c>
      <c r="D42">
        <v>23</v>
      </c>
      <c r="E42" s="1" t="s">
        <v>12</v>
      </c>
      <c r="F42" s="2">
        <v>45334</v>
      </c>
      <c r="G42" s="1" t="s">
        <v>34</v>
      </c>
      <c r="H42" s="1" t="s">
        <v>19</v>
      </c>
      <c r="I42">
        <v>5</v>
      </c>
      <c r="J42">
        <v>3349.6</v>
      </c>
      <c r="K42" s="1" t="s">
        <v>39</v>
      </c>
      <c r="L42" s="1">
        <f>customer_project_data_500_rows[[#This Row],[Quantity]]*customer_project_data_500_rows[[#This Row],[Price]]</f>
        <v>16748</v>
      </c>
    </row>
    <row r="43" spans="1:12" x14ac:dyDescent="0.3">
      <c r="A43">
        <v>1042</v>
      </c>
      <c r="B43" s="1" t="s">
        <v>72</v>
      </c>
      <c r="C43" s="1" t="s">
        <v>532</v>
      </c>
      <c r="D43">
        <v>23</v>
      </c>
      <c r="E43" s="1" t="s">
        <v>29</v>
      </c>
      <c r="F43" s="2">
        <v>45457</v>
      </c>
      <c r="G43" s="1" t="s">
        <v>25</v>
      </c>
      <c r="H43" s="1" t="s">
        <v>23</v>
      </c>
      <c r="I43">
        <v>3</v>
      </c>
      <c r="J43">
        <v>8457.83</v>
      </c>
      <c r="K43" s="1" t="s">
        <v>37</v>
      </c>
      <c r="L43" s="1">
        <f>customer_project_data_500_rows[[#This Row],[Quantity]]*customer_project_data_500_rows[[#This Row],[Price]]</f>
        <v>25373.489999999998</v>
      </c>
    </row>
    <row r="44" spans="1:12" x14ac:dyDescent="0.3">
      <c r="A44">
        <v>1043</v>
      </c>
      <c r="B44" s="1" t="s">
        <v>73</v>
      </c>
      <c r="C44" s="1" t="s">
        <v>532</v>
      </c>
      <c r="D44">
        <v>25</v>
      </c>
      <c r="E44" s="1" t="s">
        <v>36</v>
      </c>
      <c r="F44" s="2">
        <v>45106</v>
      </c>
      <c r="G44" s="1" t="s">
        <v>30</v>
      </c>
      <c r="H44" s="1" t="s">
        <v>14</v>
      </c>
      <c r="I44">
        <v>5</v>
      </c>
      <c r="J44">
        <v>35953.800000000003</v>
      </c>
      <c r="K44" s="1" t="s">
        <v>20</v>
      </c>
      <c r="L44" s="1">
        <f>customer_project_data_500_rows[[#This Row],[Quantity]]*customer_project_data_500_rows[[#This Row],[Price]]</f>
        <v>179769</v>
      </c>
    </row>
    <row r="45" spans="1:12" x14ac:dyDescent="0.3">
      <c r="A45">
        <v>1044</v>
      </c>
      <c r="B45" s="1" t="s">
        <v>74</v>
      </c>
      <c r="C45" s="1" t="s">
        <v>531</v>
      </c>
      <c r="D45">
        <v>32</v>
      </c>
      <c r="E45" s="1" t="s">
        <v>12</v>
      </c>
      <c r="F45" s="2">
        <v>45220</v>
      </c>
      <c r="G45" s="1" t="s">
        <v>30</v>
      </c>
      <c r="H45" s="1" t="s">
        <v>23</v>
      </c>
      <c r="I45">
        <v>1</v>
      </c>
      <c r="J45">
        <v>48545.63</v>
      </c>
      <c r="K45" s="1" t="s">
        <v>39</v>
      </c>
      <c r="L45" s="1">
        <f>customer_project_data_500_rows[[#This Row],[Quantity]]*customer_project_data_500_rows[[#This Row],[Price]]</f>
        <v>48545.63</v>
      </c>
    </row>
    <row r="46" spans="1:12" x14ac:dyDescent="0.3">
      <c r="A46">
        <v>1045</v>
      </c>
      <c r="B46" s="1" t="s">
        <v>75</v>
      </c>
      <c r="C46" s="1" t="s">
        <v>42</v>
      </c>
      <c r="D46">
        <v>55</v>
      </c>
      <c r="E46" s="1" t="s">
        <v>36</v>
      </c>
      <c r="F46" s="2">
        <v>44957</v>
      </c>
      <c r="G46" s="1" t="s">
        <v>30</v>
      </c>
      <c r="H46" s="1" t="s">
        <v>19</v>
      </c>
      <c r="I46">
        <v>3</v>
      </c>
      <c r="J46">
        <v>46512.74</v>
      </c>
      <c r="K46" s="1" t="s">
        <v>15</v>
      </c>
      <c r="L46" s="1">
        <f>customer_project_data_500_rows[[#This Row],[Quantity]]*customer_project_data_500_rows[[#This Row],[Price]]</f>
        <v>139538.22</v>
      </c>
    </row>
    <row r="47" spans="1:12" x14ac:dyDescent="0.3">
      <c r="A47">
        <v>1046</v>
      </c>
      <c r="B47" s="1" t="s">
        <v>76</v>
      </c>
      <c r="C47" s="1" t="s">
        <v>531</v>
      </c>
      <c r="D47">
        <v>59</v>
      </c>
      <c r="E47" s="1" t="s">
        <v>32</v>
      </c>
      <c r="F47" s="2">
        <v>45223</v>
      </c>
      <c r="G47" s="1" t="s">
        <v>22</v>
      </c>
      <c r="H47" s="1" t="s">
        <v>19</v>
      </c>
      <c r="I47">
        <v>5</v>
      </c>
      <c r="J47">
        <v>45102.82</v>
      </c>
      <c r="K47" s="1" t="s">
        <v>39</v>
      </c>
      <c r="L47" s="1">
        <f>customer_project_data_500_rows[[#This Row],[Quantity]]*customer_project_data_500_rows[[#This Row],[Price]]</f>
        <v>225514.1</v>
      </c>
    </row>
    <row r="48" spans="1:12" x14ac:dyDescent="0.3">
      <c r="A48">
        <v>1047</v>
      </c>
      <c r="B48" s="1" t="s">
        <v>77</v>
      </c>
      <c r="C48" s="1" t="s">
        <v>532</v>
      </c>
      <c r="D48">
        <v>32</v>
      </c>
      <c r="E48" s="1" t="s">
        <v>17</v>
      </c>
      <c r="F48" s="2">
        <v>45361</v>
      </c>
      <c r="G48" s="1" t="s">
        <v>30</v>
      </c>
      <c r="H48" s="1" t="s">
        <v>19</v>
      </c>
      <c r="I48">
        <v>1</v>
      </c>
      <c r="J48">
        <v>6823.29</v>
      </c>
      <c r="K48" s="1" t="s">
        <v>26</v>
      </c>
      <c r="L48" s="1">
        <f>customer_project_data_500_rows[[#This Row],[Quantity]]*customer_project_data_500_rows[[#This Row],[Price]]</f>
        <v>6823.29</v>
      </c>
    </row>
    <row r="49" spans="1:12" x14ac:dyDescent="0.3">
      <c r="A49">
        <v>1048</v>
      </c>
      <c r="B49" s="1" t="s">
        <v>78</v>
      </c>
      <c r="C49" s="1" t="s">
        <v>42</v>
      </c>
      <c r="D49">
        <v>51</v>
      </c>
      <c r="E49" s="1" t="s">
        <v>36</v>
      </c>
      <c r="F49" s="2">
        <v>45251</v>
      </c>
      <c r="G49" s="1" t="s">
        <v>13</v>
      </c>
      <c r="H49" s="1" t="s">
        <v>14</v>
      </c>
      <c r="I49">
        <v>3</v>
      </c>
      <c r="J49">
        <v>7723.48</v>
      </c>
      <c r="K49" s="1" t="s">
        <v>37</v>
      </c>
      <c r="L49" s="1">
        <f>customer_project_data_500_rows[[#This Row],[Quantity]]*customer_project_data_500_rows[[#This Row],[Price]]</f>
        <v>23170.44</v>
      </c>
    </row>
    <row r="50" spans="1:12" x14ac:dyDescent="0.3">
      <c r="A50">
        <v>1049</v>
      </c>
      <c r="B50" s="1" t="s">
        <v>79</v>
      </c>
      <c r="C50" s="1" t="s">
        <v>42</v>
      </c>
      <c r="D50">
        <v>45</v>
      </c>
      <c r="E50" s="1" t="s">
        <v>12</v>
      </c>
      <c r="F50" s="2">
        <v>45263</v>
      </c>
      <c r="G50" s="1" t="s">
        <v>22</v>
      </c>
      <c r="H50" s="1" t="s">
        <v>23</v>
      </c>
      <c r="I50">
        <v>4</v>
      </c>
      <c r="J50">
        <v>4077.11</v>
      </c>
      <c r="K50" s="1" t="s">
        <v>15</v>
      </c>
      <c r="L50" s="1">
        <f>customer_project_data_500_rows[[#This Row],[Quantity]]*customer_project_data_500_rows[[#This Row],[Price]]</f>
        <v>16308.44</v>
      </c>
    </row>
    <row r="51" spans="1:12" x14ac:dyDescent="0.3">
      <c r="A51">
        <v>1050</v>
      </c>
      <c r="B51" s="1" t="s">
        <v>80</v>
      </c>
      <c r="C51" s="1" t="s">
        <v>531</v>
      </c>
      <c r="D51">
        <v>31</v>
      </c>
      <c r="E51" s="1" t="s">
        <v>32</v>
      </c>
      <c r="F51" s="2">
        <v>45326</v>
      </c>
      <c r="G51" s="1" t="s">
        <v>22</v>
      </c>
      <c r="H51" s="1" t="s">
        <v>14</v>
      </c>
      <c r="I51">
        <v>4</v>
      </c>
      <c r="J51">
        <v>27355.74</v>
      </c>
      <c r="K51" s="1" t="s">
        <v>39</v>
      </c>
      <c r="L51" s="1">
        <f>customer_project_data_500_rows[[#This Row],[Quantity]]*customer_project_data_500_rows[[#This Row],[Price]]</f>
        <v>109422.96</v>
      </c>
    </row>
    <row r="52" spans="1:12" x14ac:dyDescent="0.3">
      <c r="A52">
        <v>1051</v>
      </c>
      <c r="B52" s="1" t="s">
        <v>81</v>
      </c>
      <c r="C52" s="1" t="s">
        <v>531</v>
      </c>
      <c r="D52">
        <v>48</v>
      </c>
      <c r="E52" s="1" t="s">
        <v>17</v>
      </c>
      <c r="F52" s="2">
        <v>45042</v>
      </c>
      <c r="G52" s="1" t="s">
        <v>34</v>
      </c>
      <c r="H52" s="1" t="s">
        <v>14</v>
      </c>
      <c r="I52">
        <v>4</v>
      </c>
      <c r="J52">
        <v>44183.07</v>
      </c>
      <c r="K52" s="1" t="s">
        <v>26</v>
      </c>
      <c r="L52" s="1">
        <f>customer_project_data_500_rows[[#This Row],[Quantity]]*customer_project_data_500_rows[[#This Row],[Price]]</f>
        <v>176732.28</v>
      </c>
    </row>
    <row r="53" spans="1:12" x14ac:dyDescent="0.3">
      <c r="A53">
        <v>1052</v>
      </c>
      <c r="B53" s="1" t="s">
        <v>82</v>
      </c>
      <c r="C53" s="1" t="s">
        <v>531</v>
      </c>
      <c r="D53">
        <v>61</v>
      </c>
      <c r="E53" s="1" t="s">
        <v>12</v>
      </c>
      <c r="F53" s="2">
        <v>45146</v>
      </c>
      <c r="G53" s="1" t="s">
        <v>30</v>
      </c>
      <c r="H53" s="1" t="s">
        <v>19</v>
      </c>
      <c r="I53">
        <v>3</v>
      </c>
      <c r="J53">
        <v>26823.7</v>
      </c>
      <c r="K53" s="1" t="s">
        <v>37</v>
      </c>
      <c r="L53" s="1">
        <f>customer_project_data_500_rows[[#This Row],[Quantity]]*customer_project_data_500_rows[[#This Row],[Price]]</f>
        <v>80471.100000000006</v>
      </c>
    </row>
    <row r="54" spans="1:12" x14ac:dyDescent="0.3">
      <c r="A54">
        <v>1053</v>
      </c>
      <c r="B54" s="1" t="s">
        <v>83</v>
      </c>
      <c r="C54" s="1" t="s">
        <v>532</v>
      </c>
      <c r="D54">
        <v>64</v>
      </c>
      <c r="E54" s="1" t="s">
        <v>36</v>
      </c>
      <c r="F54" s="2">
        <v>45288</v>
      </c>
      <c r="G54" s="1" t="s">
        <v>13</v>
      </c>
      <c r="H54" s="1" t="s">
        <v>14</v>
      </c>
      <c r="I54">
        <v>2</v>
      </c>
      <c r="J54">
        <v>39194.910000000003</v>
      </c>
      <c r="K54" s="1" t="s">
        <v>39</v>
      </c>
      <c r="L54" s="1">
        <f>customer_project_data_500_rows[[#This Row],[Quantity]]*customer_project_data_500_rows[[#This Row],[Price]]</f>
        <v>78389.820000000007</v>
      </c>
    </row>
    <row r="55" spans="1:12" x14ac:dyDescent="0.3">
      <c r="A55">
        <v>1054</v>
      </c>
      <c r="B55" s="1" t="s">
        <v>84</v>
      </c>
      <c r="C55" s="1" t="s">
        <v>532</v>
      </c>
      <c r="D55">
        <v>27</v>
      </c>
      <c r="E55" s="1" t="s">
        <v>17</v>
      </c>
      <c r="F55" s="2">
        <v>45365</v>
      </c>
      <c r="G55" s="1" t="s">
        <v>34</v>
      </c>
      <c r="H55" s="1" t="s">
        <v>14</v>
      </c>
      <c r="I55">
        <v>5</v>
      </c>
      <c r="J55">
        <v>9828.4599999999991</v>
      </c>
      <c r="K55" s="1" t="s">
        <v>15</v>
      </c>
      <c r="L55" s="1">
        <f>customer_project_data_500_rows[[#This Row],[Quantity]]*customer_project_data_500_rows[[#This Row],[Price]]</f>
        <v>49142.299999999996</v>
      </c>
    </row>
    <row r="56" spans="1:12" x14ac:dyDescent="0.3">
      <c r="A56">
        <v>1055</v>
      </c>
      <c r="B56" s="1" t="s">
        <v>85</v>
      </c>
      <c r="C56" s="1" t="s">
        <v>531</v>
      </c>
      <c r="D56">
        <v>21</v>
      </c>
      <c r="E56" s="1" t="s">
        <v>12</v>
      </c>
      <c r="F56" s="2">
        <v>45189</v>
      </c>
      <c r="G56" s="1" t="s">
        <v>22</v>
      </c>
      <c r="H56" s="1" t="s">
        <v>14</v>
      </c>
      <c r="I56">
        <v>1</v>
      </c>
      <c r="J56">
        <v>43224.01</v>
      </c>
      <c r="K56" s="1" t="s">
        <v>20</v>
      </c>
      <c r="L56" s="1">
        <f>customer_project_data_500_rows[[#This Row],[Quantity]]*customer_project_data_500_rows[[#This Row],[Price]]</f>
        <v>43224.01</v>
      </c>
    </row>
    <row r="57" spans="1:12" x14ac:dyDescent="0.3">
      <c r="A57">
        <v>1056</v>
      </c>
      <c r="B57" s="1" t="s">
        <v>86</v>
      </c>
      <c r="C57" s="1" t="s">
        <v>532</v>
      </c>
      <c r="D57">
        <v>21</v>
      </c>
      <c r="E57" s="1" t="s">
        <v>17</v>
      </c>
      <c r="F57" s="2">
        <v>45463</v>
      </c>
      <c r="G57" s="1" t="s">
        <v>18</v>
      </c>
      <c r="H57" s="1" t="s">
        <v>19</v>
      </c>
      <c r="I57">
        <v>4</v>
      </c>
      <c r="J57">
        <v>9777.5300000000007</v>
      </c>
      <c r="K57" s="1" t="s">
        <v>37</v>
      </c>
      <c r="L57" s="1">
        <f>customer_project_data_500_rows[[#This Row],[Quantity]]*customer_project_data_500_rows[[#This Row],[Price]]</f>
        <v>39110.120000000003</v>
      </c>
    </row>
    <row r="58" spans="1:12" x14ac:dyDescent="0.3">
      <c r="A58">
        <v>1057</v>
      </c>
      <c r="B58" s="1" t="s">
        <v>87</v>
      </c>
      <c r="C58" s="1" t="s">
        <v>42</v>
      </c>
      <c r="D58">
        <v>21</v>
      </c>
      <c r="E58" s="1" t="s">
        <v>32</v>
      </c>
      <c r="F58" s="2">
        <v>45439</v>
      </c>
      <c r="G58" s="1" t="s">
        <v>18</v>
      </c>
      <c r="H58" s="1" t="s">
        <v>19</v>
      </c>
      <c r="I58">
        <v>3</v>
      </c>
      <c r="J58">
        <v>3210.82</v>
      </c>
      <c r="K58" s="1" t="s">
        <v>15</v>
      </c>
      <c r="L58" s="1">
        <f>customer_project_data_500_rows[[#This Row],[Quantity]]*customer_project_data_500_rows[[#This Row],[Price]]</f>
        <v>9632.4600000000009</v>
      </c>
    </row>
    <row r="59" spans="1:12" x14ac:dyDescent="0.3">
      <c r="A59">
        <v>1058</v>
      </c>
      <c r="B59" s="1" t="s">
        <v>88</v>
      </c>
      <c r="C59" s="1" t="s">
        <v>532</v>
      </c>
      <c r="D59">
        <v>51</v>
      </c>
      <c r="E59" s="1" t="s">
        <v>36</v>
      </c>
      <c r="F59" s="2">
        <v>45431</v>
      </c>
      <c r="G59" s="1" t="s">
        <v>25</v>
      </c>
      <c r="H59" s="1" t="s">
        <v>19</v>
      </c>
      <c r="I59">
        <v>5</v>
      </c>
      <c r="J59">
        <v>21363.81</v>
      </c>
      <c r="K59" s="1" t="s">
        <v>20</v>
      </c>
      <c r="L59" s="1">
        <f>customer_project_data_500_rows[[#This Row],[Quantity]]*customer_project_data_500_rows[[#This Row],[Price]]</f>
        <v>106819.05</v>
      </c>
    </row>
    <row r="60" spans="1:12" x14ac:dyDescent="0.3">
      <c r="A60">
        <v>1059</v>
      </c>
      <c r="B60" s="1" t="s">
        <v>89</v>
      </c>
      <c r="C60" s="1" t="s">
        <v>532</v>
      </c>
      <c r="D60">
        <v>53</v>
      </c>
      <c r="E60" s="1" t="s">
        <v>29</v>
      </c>
      <c r="F60" s="2">
        <v>45103</v>
      </c>
      <c r="G60" s="1" t="s">
        <v>22</v>
      </c>
      <c r="H60" s="1" t="s">
        <v>23</v>
      </c>
      <c r="I60">
        <v>4</v>
      </c>
      <c r="J60">
        <v>27977.67</v>
      </c>
      <c r="K60" s="1" t="s">
        <v>37</v>
      </c>
      <c r="L60" s="1">
        <f>customer_project_data_500_rows[[#This Row],[Quantity]]*customer_project_data_500_rows[[#This Row],[Price]]</f>
        <v>111910.68</v>
      </c>
    </row>
    <row r="61" spans="1:12" x14ac:dyDescent="0.3">
      <c r="A61">
        <v>1060</v>
      </c>
      <c r="B61" s="1" t="s">
        <v>90</v>
      </c>
      <c r="C61" s="1" t="s">
        <v>531</v>
      </c>
      <c r="D61">
        <v>34</v>
      </c>
      <c r="E61" s="1" t="s">
        <v>12</v>
      </c>
      <c r="F61" s="2">
        <v>45172</v>
      </c>
      <c r="G61" s="1" t="s">
        <v>25</v>
      </c>
      <c r="H61" s="1" t="s">
        <v>19</v>
      </c>
      <c r="I61">
        <v>3</v>
      </c>
      <c r="J61">
        <v>48551.73</v>
      </c>
      <c r="K61" s="1" t="s">
        <v>20</v>
      </c>
      <c r="L61" s="1">
        <f>customer_project_data_500_rows[[#This Row],[Quantity]]*customer_project_data_500_rows[[#This Row],[Price]]</f>
        <v>145655.19</v>
      </c>
    </row>
    <row r="62" spans="1:12" x14ac:dyDescent="0.3">
      <c r="A62">
        <v>1061</v>
      </c>
      <c r="B62" s="1" t="s">
        <v>91</v>
      </c>
      <c r="C62" s="1" t="s">
        <v>531</v>
      </c>
      <c r="D62">
        <v>46</v>
      </c>
      <c r="E62" s="1" t="s">
        <v>12</v>
      </c>
      <c r="F62" s="2">
        <v>45399</v>
      </c>
      <c r="G62" s="1" t="s">
        <v>34</v>
      </c>
      <c r="H62" s="1" t="s">
        <v>19</v>
      </c>
      <c r="I62">
        <v>4</v>
      </c>
      <c r="J62">
        <v>5041.8100000000004</v>
      </c>
      <c r="K62" s="1" t="s">
        <v>39</v>
      </c>
      <c r="L62" s="1">
        <f>customer_project_data_500_rows[[#This Row],[Quantity]]*customer_project_data_500_rows[[#This Row],[Price]]</f>
        <v>20167.240000000002</v>
      </c>
    </row>
    <row r="63" spans="1:12" x14ac:dyDescent="0.3">
      <c r="A63">
        <v>1062</v>
      </c>
      <c r="B63" s="1" t="s">
        <v>92</v>
      </c>
      <c r="C63" s="1" t="s">
        <v>42</v>
      </c>
      <c r="D63">
        <v>55</v>
      </c>
      <c r="E63" s="1" t="s">
        <v>36</v>
      </c>
      <c r="F63" s="2">
        <v>45312</v>
      </c>
      <c r="G63" s="1" t="s">
        <v>13</v>
      </c>
      <c r="H63" s="1" t="s">
        <v>14</v>
      </c>
      <c r="I63">
        <v>4</v>
      </c>
      <c r="J63">
        <v>14058.95</v>
      </c>
      <c r="K63" s="1" t="s">
        <v>15</v>
      </c>
      <c r="L63" s="1">
        <f>customer_project_data_500_rows[[#This Row],[Quantity]]*customer_project_data_500_rows[[#This Row],[Price]]</f>
        <v>56235.8</v>
      </c>
    </row>
    <row r="64" spans="1:12" x14ac:dyDescent="0.3">
      <c r="A64">
        <v>1063</v>
      </c>
      <c r="B64" s="1" t="s">
        <v>93</v>
      </c>
      <c r="C64" s="1" t="s">
        <v>532</v>
      </c>
      <c r="D64">
        <v>18</v>
      </c>
      <c r="E64" s="1" t="s">
        <v>32</v>
      </c>
      <c r="F64" s="2">
        <v>45384</v>
      </c>
      <c r="G64" s="1" t="s">
        <v>22</v>
      </c>
      <c r="H64" s="1" t="s">
        <v>23</v>
      </c>
      <c r="I64">
        <v>5</v>
      </c>
      <c r="J64">
        <v>5702.8</v>
      </c>
      <c r="K64" s="1" t="s">
        <v>15</v>
      </c>
      <c r="L64" s="1">
        <f>customer_project_data_500_rows[[#This Row],[Quantity]]*customer_project_data_500_rows[[#This Row],[Price]]</f>
        <v>28514</v>
      </c>
    </row>
    <row r="65" spans="1:12" x14ac:dyDescent="0.3">
      <c r="A65">
        <v>1064</v>
      </c>
      <c r="B65" s="1" t="s">
        <v>94</v>
      </c>
      <c r="C65" s="1" t="s">
        <v>532</v>
      </c>
      <c r="D65">
        <v>55</v>
      </c>
      <c r="E65" s="1" t="s">
        <v>36</v>
      </c>
      <c r="F65" s="2">
        <v>45460</v>
      </c>
      <c r="G65" s="1" t="s">
        <v>34</v>
      </c>
      <c r="H65" s="1" t="s">
        <v>19</v>
      </c>
      <c r="I65">
        <v>4</v>
      </c>
      <c r="J65">
        <v>19826.759999999998</v>
      </c>
      <c r="K65" s="1" t="s">
        <v>20</v>
      </c>
      <c r="L65" s="1">
        <f>customer_project_data_500_rows[[#This Row],[Quantity]]*customer_project_data_500_rows[[#This Row],[Price]]</f>
        <v>79307.039999999994</v>
      </c>
    </row>
    <row r="66" spans="1:12" x14ac:dyDescent="0.3">
      <c r="A66">
        <v>1065</v>
      </c>
      <c r="B66" s="1" t="s">
        <v>95</v>
      </c>
      <c r="C66" s="1" t="s">
        <v>531</v>
      </c>
      <c r="D66">
        <v>47</v>
      </c>
      <c r="E66" s="1" t="s">
        <v>32</v>
      </c>
      <c r="F66" s="2">
        <v>44927</v>
      </c>
      <c r="G66" s="1" t="s">
        <v>25</v>
      </c>
      <c r="H66" s="1" t="s">
        <v>14</v>
      </c>
      <c r="I66">
        <v>4</v>
      </c>
      <c r="J66">
        <v>14806.05</v>
      </c>
      <c r="K66" s="1" t="s">
        <v>37</v>
      </c>
      <c r="L66" s="1">
        <f>customer_project_data_500_rows[[#This Row],[Quantity]]*customer_project_data_500_rows[[#This Row],[Price]]</f>
        <v>59224.2</v>
      </c>
    </row>
    <row r="67" spans="1:12" x14ac:dyDescent="0.3">
      <c r="A67">
        <v>1066</v>
      </c>
      <c r="B67" s="1" t="s">
        <v>96</v>
      </c>
      <c r="C67" s="1" t="s">
        <v>42</v>
      </c>
      <c r="D67">
        <v>36</v>
      </c>
      <c r="E67" s="1" t="s">
        <v>17</v>
      </c>
      <c r="F67" s="2">
        <v>45515</v>
      </c>
      <c r="G67" s="1" t="s">
        <v>18</v>
      </c>
      <c r="H67" s="1" t="s">
        <v>19</v>
      </c>
      <c r="I67">
        <v>4</v>
      </c>
      <c r="J67">
        <v>25908.37</v>
      </c>
      <c r="K67" s="1" t="s">
        <v>20</v>
      </c>
      <c r="L67" s="1">
        <f>customer_project_data_500_rows[[#This Row],[Quantity]]*customer_project_data_500_rows[[#This Row],[Price]]</f>
        <v>103633.48</v>
      </c>
    </row>
    <row r="68" spans="1:12" x14ac:dyDescent="0.3">
      <c r="A68">
        <v>1067</v>
      </c>
      <c r="B68" s="1" t="s">
        <v>97</v>
      </c>
      <c r="C68" s="1" t="s">
        <v>42</v>
      </c>
      <c r="D68">
        <v>32</v>
      </c>
      <c r="E68" s="1" t="s">
        <v>12</v>
      </c>
      <c r="F68" s="2">
        <v>45343</v>
      </c>
      <c r="G68" s="1" t="s">
        <v>13</v>
      </c>
      <c r="H68" s="1" t="s">
        <v>14</v>
      </c>
      <c r="I68">
        <v>5</v>
      </c>
      <c r="J68">
        <v>17738.71</v>
      </c>
      <c r="K68" s="1" t="s">
        <v>26</v>
      </c>
      <c r="L68" s="1">
        <f>customer_project_data_500_rows[[#This Row],[Quantity]]*customer_project_data_500_rows[[#This Row],[Price]]</f>
        <v>88693.549999999988</v>
      </c>
    </row>
    <row r="69" spans="1:12" x14ac:dyDescent="0.3">
      <c r="A69">
        <v>1068</v>
      </c>
      <c r="B69" s="1" t="s">
        <v>98</v>
      </c>
      <c r="C69" s="1" t="s">
        <v>531</v>
      </c>
      <c r="D69">
        <v>57</v>
      </c>
      <c r="E69" s="1" t="s">
        <v>12</v>
      </c>
      <c r="F69" s="2">
        <v>45351</v>
      </c>
      <c r="G69" s="1" t="s">
        <v>13</v>
      </c>
      <c r="H69" s="1" t="s">
        <v>23</v>
      </c>
      <c r="I69">
        <v>2</v>
      </c>
      <c r="J69">
        <v>46447.29</v>
      </c>
      <c r="K69" s="1" t="s">
        <v>20</v>
      </c>
      <c r="L69" s="1">
        <f>customer_project_data_500_rows[[#This Row],[Quantity]]*customer_project_data_500_rows[[#This Row],[Price]]</f>
        <v>92894.58</v>
      </c>
    </row>
    <row r="70" spans="1:12" x14ac:dyDescent="0.3">
      <c r="A70">
        <v>1069</v>
      </c>
      <c r="B70" s="1" t="s">
        <v>99</v>
      </c>
      <c r="C70" s="1" t="s">
        <v>532</v>
      </c>
      <c r="D70">
        <v>24</v>
      </c>
      <c r="E70" s="1" t="s">
        <v>32</v>
      </c>
      <c r="F70" s="2">
        <v>45010</v>
      </c>
      <c r="G70" s="1" t="s">
        <v>13</v>
      </c>
      <c r="H70" s="1" t="s">
        <v>14</v>
      </c>
      <c r="I70">
        <v>5</v>
      </c>
      <c r="J70">
        <v>39602.42</v>
      </c>
      <c r="K70" s="1" t="s">
        <v>15</v>
      </c>
      <c r="L70" s="1">
        <f>customer_project_data_500_rows[[#This Row],[Quantity]]*customer_project_data_500_rows[[#This Row],[Price]]</f>
        <v>198012.09999999998</v>
      </c>
    </row>
    <row r="71" spans="1:12" x14ac:dyDescent="0.3">
      <c r="A71">
        <v>1070</v>
      </c>
      <c r="B71" s="1" t="s">
        <v>100</v>
      </c>
      <c r="C71" s="1" t="s">
        <v>42</v>
      </c>
      <c r="D71">
        <v>46</v>
      </c>
      <c r="E71" s="1" t="s">
        <v>36</v>
      </c>
      <c r="F71" s="2">
        <v>45213</v>
      </c>
      <c r="G71" s="1" t="s">
        <v>34</v>
      </c>
      <c r="H71" s="1" t="s">
        <v>14</v>
      </c>
      <c r="I71">
        <v>4</v>
      </c>
      <c r="J71">
        <v>43120.06</v>
      </c>
      <c r="K71" s="1" t="s">
        <v>15</v>
      </c>
      <c r="L71" s="1">
        <f>customer_project_data_500_rows[[#This Row],[Quantity]]*customer_project_data_500_rows[[#This Row],[Price]]</f>
        <v>172480.24</v>
      </c>
    </row>
    <row r="72" spans="1:12" x14ac:dyDescent="0.3">
      <c r="A72">
        <v>1071</v>
      </c>
      <c r="B72" s="1" t="s">
        <v>101</v>
      </c>
      <c r="C72" s="1" t="s">
        <v>531</v>
      </c>
      <c r="D72">
        <v>28</v>
      </c>
      <c r="E72" s="1" t="s">
        <v>29</v>
      </c>
      <c r="F72" s="2">
        <v>45270</v>
      </c>
      <c r="G72" s="1" t="s">
        <v>18</v>
      </c>
      <c r="H72" s="1" t="s">
        <v>23</v>
      </c>
      <c r="I72">
        <v>1</v>
      </c>
      <c r="J72">
        <v>6910.3</v>
      </c>
      <c r="K72" s="1" t="s">
        <v>20</v>
      </c>
      <c r="L72" s="1">
        <f>customer_project_data_500_rows[[#This Row],[Quantity]]*customer_project_data_500_rows[[#This Row],[Price]]</f>
        <v>6910.3</v>
      </c>
    </row>
    <row r="73" spans="1:12" x14ac:dyDescent="0.3">
      <c r="A73">
        <v>1072</v>
      </c>
      <c r="B73" s="1" t="s">
        <v>102</v>
      </c>
      <c r="C73" s="1" t="s">
        <v>42</v>
      </c>
      <c r="D73">
        <v>50</v>
      </c>
      <c r="E73" s="1" t="s">
        <v>12</v>
      </c>
      <c r="F73" s="2">
        <v>45364</v>
      </c>
      <c r="G73" s="1" t="s">
        <v>13</v>
      </c>
      <c r="H73" s="1" t="s">
        <v>14</v>
      </c>
      <c r="I73">
        <v>2</v>
      </c>
      <c r="J73">
        <v>28965.97</v>
      </c>
      <c r="K73" s="1" t="s">
        <v>15</v>
      </c>
      <c r="L73" s="1">
        <f>customer_project_data_500_rows[[#This Row],[Quantity]]*customer_project_data_500_rows[[#This Row],[Price]]</f>
        <v>57931.94</v>
      </c>
    </row>
    <row r="74" spans="1:12" x14ac:dyDescent="0.3">
      <c r="A74">
        <v>1073</v>
      </c>
      <c r="B74" s="1" t="s">
        <v>103</v>
      </c>
      <c r="C74" s="1" t="s">
        <v>531</v>
      </c>
      <c r="D74">
        <v>64</v>
      </c>
      <c r="E74" s="1" t="s">
        <v>12</v>
      </c>
      <c r="F74" s="2">
        <v>45461</v>
      </c>
      <c r="G74" s="1" t="s">
        <v>22</v>
      </c>
      <c r="H74" s="1" t="s">
        <v>14</v>
      </c>
      <c r="I74">
        <v>5</v>
      </c>
      <c r="J74">
        <v>11131.74</v>
      </c>
      <c r="K74" s="1" t="s">
        <v>39</v>
      </c>
      <c r="L74" s="1">
        <f>customer_project_data_500_rows[[#This Row],[Quantity]]*customer_project_data_500_rows[[#This Row],[Price]]</f>
        <v>55658.7</v>
      </c>
    </row>
    <row r="75" spans="1:12" x14ac:dyDescent="0.3">
      <c r="A75">
        <v>1074</v>
      </c>
      <c r="B75" s="1" t="s">
        <v>104</v>
      </c>
      <c r="C75" s="1" t="s">
        <v>532</v>
      </c>
      <c r="D75">
        <v>47</v>
      </c>
      <c r="E75" s="1" t="s">
        <v>36</v>
      </c>
      <c r="F75" s="2">
        <v>45570</v>
      </c>
      <c r="G75" s="1" t="s">
        <v>30</v>
      </c>
      <c r="H75" s="1" t="s">
        <v>19</v>
      </c>
      <c r="I75">
        <v>2</v>
      </c>
      <c r="J75">
        <v>43477.81</v>
      </c>
      <c r="K75" s="1" t="s">
        <v>26</v>
      </c>
      <c r="L75" s="1">
        <f>customer_project_data_500_rows[[#This Row],[Quantity]]*customer_project_data_500_rows[[#This Row],[Price]]</f>
        <v>86955.62</v>
      </c>
    </row>
    <row r="76" spans="1:12" x14ac:dyDescent="0.3">
      <c r="A76">
        <v>1075</v>
      </c>
      <c r="B76" s="1" t="s">
        <v>105</v>
      </c>
      <c r="C76" s="1" t="s">
        <v>531</v>
      </c>
      <c r="D76">
        <v>36</v>
      </c>
      <c r="E76" s="1" t="s">
        <v>36</v>
      </c>
      <c r="F76" s="2">
        <v>45473</v>
      </c>
      <c r="G76" s="1" t="s">
        <v>13</v>
      </c>
      <c r="H76" s="1" t="s">
        <v>14</v>
      </c>
      <c r="I76">
        <v>3</v>
      </c>
      <c r="J76">
        <v>1243.46</v>
      </c>
      <c r="K76" s="1" t="s">
        <v>15</v>
      </c>
      <c r="L76" s="1">
        <f>customer_project_data_500_rows[[#This Row],[Quantity]]*customer_project_data_500_rows[[#This Row],[Price]]</f>
        <v>3730.38</v>
      </c>
    </row>
    <row r="77" spans="1:12" x14ac:dyDescent="0.3">
      <c r="A77">
        <v>1076</v>
      </c>
      <c r="B77" s="1" t="s">
        <v>106</v>
      </c>
      <c r="C77" s="1" t="s">
        <v>531</v>
      </c>
      <c r="D77">
        <v>54</v>
      </c>
      <c r="E77" s="1" t="s">
        <v>32</v>
      </c>
      <c r="F77" s="2">
        <v>44976</v>
      </c>
      <c r="G77" s="1" t="s">
        <v>30</v>
      </c>
      <c r="H77" s="1" t="s">
        <v>19</v>
      </c>
      <c r="I77">
        <v>1</v>
      </c>
      <c r="J77">
        <v>5734.34</v>
      </c>
      <c r="K77" s="1" t="s">
        <v>26</v>
      </c>
      <c r="L77" s="1">
        <f>customer_project_data_500_rows[[#This Row],[Quantity]]*customer_project_data_500_rows[[#This Row],[Price]]</f>
        <v>5734.34</v>
      </c>
    </row>
    <row r="78" spans="1:12" x14ac:dyDescent="0.3">
      <c r="A78">
        <v>1077</v>
      </c>
      <c r="B78" s="1" t="s">
        <v>107</v>
      </c>
      <c r="C78" s="1" t="s">
        <v>42</v>
      </c>
      <c r="D78">
        <v>47</v>
      </c>
      <c r="E78" s="1" t="s">
        <v>12</v>
      </c>
      <c r="F78" s="2">
        <v>45015</v>
      </c>
      <c r="G78" s="1" t="s">
        <v>30</v>
      </c>
      <c r="H78" s="1" t="s">
        <v>23</v>
      </c>
      <c r="I78">
        <v>1</v>
      </c>
      <c r="J78">
        <v>19114.830000000002</v>
      </c>
      <c r="K78" s="1" t="s">
        <v>26</v>
      </c>
      <c r="L78" s="1">
        <f>customer_project_data_500_rows[[#This Row],[Quantity]]*customer_project_data_500_rows[[#This Row],[Price]]</f>
        <v>19114.830000000002</v>
      </c>
    </row>
    <row r="79" spans="1:12" x14ac:dyDescent="0.3">
      <c r="A79">
        <v>1078</v>
      </c>
      <c r="B79" s="1" t="s">
        <v>108</v>
      </c>
      <c r="C79" s="1" t="s">
        <v>532</v>
      </c>
      <c r="D79">
        <v>57</v>
      </c>
      <c r="E79" s="1" t="s">
        <v>12</v>
      </c>
      <c r="F79" s="2">
        <v>45604</v>
      </c>
      <c r="G79" s="1" t="s">
        <v>30</v>
      </c>
      <c r="H79" s="1" t="s">
        <v>14</v>
      </c>
      <c r="I79">
        <v>4</v>
      </c>
      <c r="J79">
        <v>20403.650000000001</v>
      </c>
      <c r="K79" s="1" t="s">
        <v>37</v>
      </c>
      <c r="L79" s="1">
        <f>customer_project_data_500_rows[[#This Row],[Quantity]]*customer_project_data_500_rows[[#This Row],[Price]]</f>
        <v>81614.600000000006</v>
      </c>
    </row>
    <row r="80" spans="1:12" x14ac:dyDescent="0.3">
      <c r="A80">
        <v>1079</v>
      </c>
      <c r="B80" s="1" t="s">
        <v>109</v>
      </c>
      <c r="C80" s="1" t="s">
        <v>532</v>
      </c>
      <c r="D80">
        <v>46</v>
      </c>
      <c r="E80" s="1" t="s">
        <v>32</v>
      </c>
      <c r="F80" s="2">
        <v>45433</v>
      </c>
      <c r="G80" s="1" t="s">
        <v>34</v>
      </c>
      <c r="H80" s="1" t="s">
        <v>19</v>
      </c>
      <c r="I80">
        <v>4</v>
      </c>
      <c r="J80">
        <v>14222.39</v>
      </c>
      <c r="K80" s="1" t="s">
        <v>15</v>
      </c>
      <c r="L80" s="1">
        <f>customer_project_data_500_rows[[#This Row],[Quantity]]*customer_project_data_500_rows[[#This Row],[Price]]</f>
        <v>56889.56</v>
      </c>
    </row>
    <row r="81" spans="1:12" x14ac:dyDescent="0.3">
      <c r="A81">
        <v>1080</v>
      </c>
      <c r="B81" s="1" t="s">
        <v>110</v>
      </c>
      <c r="C81" s="1" t="s">
        <v>42</v>
      </c>
      <c r="D81">
        <v>47</v>
      </c>
      <c r="E81" s="1" t="s">
        <v>12</v>
      </c>
      <c r="F81" s="2">
        <v>45432</v>
      </c>
      <c r="G81" s="1" t="s">
        <v>22</v>
      </c>
      <c r="H81" s="1" t="s">
        <v>14</v>
      </c>
      <c r="I81">
        <v>4</v>
      </c>
      <c r="J81">
        <v>5255.12</v>
      </c>
      <c r="K81" s="1" t="s">
        <v>37</v>
      </c>
      <c r="L81" s="1">
        <f>customer_project_data_500_rows[[#This Row],[Quantity]]*customer_project_data_500_rows[[#This Row],[Price]]</f>
        <v>21020.48</v>
      </c>
    </row>
    <row r="82" spans="1:12" x14ac:dyDescent="0.3">
      <c r="A82">
        <v>1081</v>
      </c>
      <c r="B82" s="1" t="s">
        <v>111</v>
      </c>
      <c r="C82" s="1" t="s">
        <v>42</v>
      </c>
      <c r="D82">
        <v>57</v>
      </c>
      <c r="E82" s="1" t="s">
        <v>32</v>
      </c>
      <c r="F82" s="2">
        <v>45579</v>
      </c>
      <c r="G82" s="1" t="s">
        <v>34</v>
      </c>
      <c r="H82" s="1" t="s">
        <v>19</v>
      </c>
      <c r="I82">
        <v>5</v>
      </c>
      <c r="J82">
        <v>6377.16</v>
      </c>
      <c r="K82" s="1" t="s">
        <v>26</v>
      </c>
      <c r="L82" s="1">
        <f>customer_project_data_500_rows[[#This Row],[Quantity]]*customer_project_data_500_rows[[#This Row],[Price]]</f>
        <v>31885.8</v>
      </c>
    </row>
    <row r="83" spans="1:12" x14ac:dyDescent="0.3">
      <c r="A83">
        <v>1082</v>
      </c>
      <c r="B83" s="1" t="s">
        <v>112</v>
      </c>
      <c r="C83" s="1" t="s">
        <v>531</v>
      </c>
      <c r="D83">
        <v>44</v>
      </c>
      <c r="E83" s="1" t="s">
        <v>12</v>
      </c>
      <c r="F83" s="2">
        <v>45433</v>
      </c>
      <c r="G83" s="1" t="s">
        <v>13</v>
      </c>
      <c r="H83" s="1" t="s">
        <v>19</v>
      </c>
      <c r="I83">
        <v>3</v>
      </c>
      <c r="J83">
        <v>16238.27</v>
      </c>
      <c r="K83" s="1" t="s">
        <v>20</v>
      </c>
      <c r="L83" s="1">
        <f>customer_project_data_500_rows[[#This Row],[Quantity]]*customer_project_data_500_rows[[#This Row],[Price]]</f>
        <v>48714.81</v>
      </c>
    </row>
    <row r="84" spans="1:12" x14ac:dyDescent="0.3">
      <c r="A84">
        <v>1083</v>
      </c>
      <c r="B84" s="1" t="s">
        <v>113</v>
      </c>
      <c r="C84" s="1" t="s">
        <v>532</v>
      </c>
      <c r="D84">
        <v>45</v>
      </c>
      <c r="E84" s="1" t="s">
        <v>29</v>
      </c>
      <c r="F84" s="2">
        <v>45445</v>
      </c>
      <c r="G84" s="1" t="s">
        <v>18</v>
      </c>
      <c r="H84" s="1" t="s">
        <v>23</v>
      </c>
      <c r="I84">
        <v>3</v>
      </c>
      <c r="J84">
        <v>47564.25</v>
      </c>
      <c r="K84" s="1" t="s">
        <v>26</v>
      </c>
      <c r="L84" s="1">
        <f>customer_project_data_500_rows[[#This Row],[Quantity]]*customer_project_data_500_rows[[#This Row],[Price]]</f>
        <v>142692.75</v>
      </c>
    </row>
    <row r="85" spans="1:12" x14ac:dyDescent="0.3">
      <c r="A85">
        <v>1084</v>
      </c>
      <c r="B85" s="1" t="s">
        <v>114</v>
      </c>
      <c r="C85" s="1" t="s">
        <v>42</v>
      </c>
      <c r="D85">
        <v>60</v>
      </c>
      <c r="E85" s="1" t="s">
        <v>29</v>
      </c>
      <c r="F85" s="2">
        <v>45531</v>
      </c>
      <c r="G85" s="1" t="s">
        <v>34</v>
      </c>
      <c r="H85" s="1" t="s">
        <v>19</v>
      </c>
      <c r="I85">
        <v>5</v>
      </c>
      <c r="J85">
        <v>10766.62</v>
      </c>
      <c r="K85" s="1" t="s">
        <v>37</v>
      </c>
      <c r="L85" s="1">
        <f>customer_project_data_500_rows[[#This Row],[Quantity]]*customer_project_data_500_rows[[#This Row],[Price]]</f>
        <v>53833.100000000006</v>
      </c>
    </row>
    <row r="86" spans="1:12" x14ac:dyDescent="0.3">
      <c r="A86">
        <v>1085</v>
      </c>
      <c r="B86" s="1" t="s">
        <v>115</v>
      </c>
      <c r="C86" s="1" t="s">
        <v>42</v>
      </c>
      <c r="D86">
        <v>30</v>
      </c>
      <c r="E86" s="1" t="s">
        <v>12</v>
      </c>
      <c r="F86" s="2">
        <v>45186</v>
      </c>
      <c r="G86" s="1" t="s">
        <v>18</v>
      </c>
      <c r="H86" s="1" t="s">
        <v>19</v>
      </c>
      <c r="I86">
        <v>5</v>
      </c>
      <c r="J86">
        <v>37490.379999999997</v>
      </c>
      <c r="K86" s="1" t="s">
        <v>39</v>
      </c>
      <c r="L86" s="1">
        <f>customer_project_data_500_rows[[#This Row],[Quantity]]*customer_project_data_500_rows[[#This Row],[Price]]</f>
        <v>187451.9</v>
      </c>
    </row>
    <row r="87" spans="1:12" x14ac:dyDescent="0.3">
      <c r="A87">
        <v>1086</v>
      </c>
      <c r="B87" s="1" t="s">
        <v>116</v>
      </c>
      <c r="C87" s="1" t="s">
        <v>42</v>
      </c>
      <c r="D87">
        <v>35</v>
      </c>
      <c r="E87" s="1" t="s">
        <v>32</v>
      </c>
      <c r="F87" s="2">
        <v>45179</v>
      </c>
      <c r="G87" s="1" t="s">
        <v>18</v>
      </c>
      <c r="H87" s="1" t="s">
        <v>14</v>
      </c>
      <c r="I87">
        <v>4</v>
      </c>
      <c r="J87">
        <v>13280.34</v>
      </c>
      <c r="K87" s="1" t="s">
        <v>37</v>
      </c>
      <c r="L87" s="1">
        <f>customer_project_data_500_rows[[#This Row],[Quantity]]*customer_project_data_500_rows[[#This Row],[Price]]</f>
        <v>53121.36</v>
      </c>
    </row>
    <row r="88" spans="1:12" x14ac:dyDescent="0.3">
      <c r="A88">
        <v>1087</v>
      </c>
      <c r="B88" s="1" t="s">
        <v>117</v>
      </c>
      <c r="C88" s="1" t="s">
        <v>532</v>
      </c>
      <c r="D88">
        <v>25</v>
      </c>
      <c r="E88" s="1" t="s">
        <v>36</v>
      </c>
      <c r="F88" s="2">
        <v>45215</v>
      </c>
      <c r="G88" s="1" t="s">
        <v>34</v>
      </c>
      <c r="H88" s="1" t="s">
        <v>19</v>
      </c>
      <c r="I88">
        <v>1</v>
      </c>
      <c r="J88">
        <v>2343.39</v>
      </c>
      <c r="K88" s="1" t="s">
        <v>15</v>
      </c>
      <c r="L88" s="1">
        <f>customer_project_data_500_rows[[#This Row],[Quantity]]*customer_project_data_500_rows[[#This Row],[Price]]</f>
        <v>2343.39</v>
      </c>
    </row>
    <row r="89" spans="1:12" x14ac:dyDescent="0.3">
      <c r="A89">
        <v>1088</v>
      </c>
      <c r="B89" s="1" t="s">
        <v>118</v>
      </c>
      <c r="C89" s="1" t="s">
        <v>532</v>
      </c>
      <c r="D89">
        <v>45</v>
      </c>
      <c r="E89" s="1" t="s">
        <v>29</v>
      </c>
      <c r="F89" s="2">
        <v>45611</v>
      </c>
      <c r="G89" s="1" t="s">
        <v>22</v>
      </c>
      <c r="H89" s="1" t="s">
        <v>14</v>
      </c>
      <c r="I89">
        <v>3</v>
      </c>
      <c r="J89">
        <v>1294.58</v>
      </c>
      <c r="K89" s="1" t="s">
        <v>20</v>
      </c>
      <c r="L89" s="1">
        <f>customer_project_data_500_rows[[#This Row],[Quantity]]*customer_project_data_500_rows[[#This Row],[Price]]</f>
        <v>3883.74</v>
      </c>
    </row>
    <row r="90" spans="1:12" x14ac:dyDescent="0.3">
      <c r="A90">
        <v>1089</v>
      </c>
      <c r="B90" s="1" t="s">
        <v>119</v>
      </c>
      <c r="C90" s="1" t="s">
        <v>531</v>
      </c>
      <c r="D90">
        <v>25</v>
      </c>
      <c r="E90" s="1" t="s">
        <v>32</v>
      </c>
      <c r="F90" s="2">
        <v>45084</v>
      </c>
      <c r="G90" s="1" t="s">
        <v>18</v>
      </c>
      <c r="H90" s="1" t="s">
        <v>14</v>
      </c>
      <c r="I90">
        <v>3</v>
      </c>
      <c r="J90">
        <v>8058.94</v>
      </c>
      <c r="K90" s="1" t="s">
        <v>20</v>
      </c>
      <c r="L90" s="1">
        <f>customer_project_data_500_rows[[#This Row],[Quantity]]*customer_project_data_500_rows[[#This Row],[Price]]</f>
        <v>24176.82</v>
      </c>
    </row>
    <row r="91" spans="1:12" x14ac:dyDescent="0.3">
      <c r="A91">
        <v>1090</v>
      </c>
      <c r="B91" s="1" t="s">
        <v>120</v>
      </c>
      <c r="C91" s="1" t="s">
        <v>531</v>
      </c>
      <c r="D91">
        <v>37</v>
      </c>
      <c r="E91" s="1" t="s">
        <v>36</v>
      </c>
      <c r="F91" s="2">
        <v>45229</v>
      </c>
      <c r="G91" s="1" t="s">
        <v>13</v>
      </c>
      <c r="H91" s="1" t="s">
        <v>19</v>
      </c>
      <c r="I91">
        <v>3</v>
      </c>
      <c r="J91">
        <v>23373.17</v>
      </c>
      <c r="K91" s="1" t="s">
        <v>20</v>
      </c>
      <c r="L91" s="1">
        <f>customer_project_data_500_rows[[#This Row],[Quantity]]*customer_project_data_500_rows[[#This Row],[Price]]</f>
        <v>70119.509999999995</v>
      </c>
    </row>
    <row r="92" spans="1:12" x14ac:dyDescent="0.3">
      <c r="A92">
        <v>1091</v>
      </c>
      <c r="B92" s="1" t="s">
        <v>121</v>
      </c>
      <c r="C92" s="1" t="s">
        <v>531</v>
      </c>
      <c r="D92">
        <v>50</v>
      </c>
      <c r="E92" s="1" t="s">
        <v>32</v>
      </c>
      <c r="F92" s="2">
        <v>45430</v>
      </c>
      <c r="G92" s="1" t="s">
        <v>13</v>
      </c>
      <c r="H92" s="1" t="s">
        <v>23</v>
      </c>
      <c r="I92">
        <v>3</v>
      </c>
      <c r="J92">
        <v>37917.1</v>
      </c>
      <c r="K92" s="1" t="s">
        <v>37</v>
      </c>
      <c r="L92" s="1">
        <f>customer_project_data_500_rows[[#This Row],[Quantity]]*customer_project_data_500_rows[[#This Row],[Price]]</f>
        <v>113751.29999999999</v>
      </c>
    </row>
    <row r="93" spans="1:12" x14ac:dyDescent="0.3">
      <c r="A93">
        <v>1092</v>
      </c>
      <c r="B93" s="1" t="s">
        <v>122</v>
      </c>
      <c r="C93" s="1" t="s">
        <v>532</v>
      </c>
      <c r="D93">
        <v>30</v>
      </c>
      <c r="E93" s="1" t="s">
        <v>32</v>
      </c>
      <c r="F93" s="2">
        <v>45378</v>
      </c>
      <c r="G93" s="1" t="s">
        <v>25</v>
      </c>
      <c r="H93" s="1" t="s">
        <v>23</v>
      </c>
      <c r="I93">
        <v>3</v>
      </c>
      <c r="J93">
        <v>36576.339999999997</v>
      </c>
      <c r="K93" s="1" t="s">
        <v>15</v>
      </c>
      <c r="L93" s="1">
        <f>customer_project_data_500_rows[[#This Row],[Quantity]]*customer_project_data_500_rows[[#This Row],[Price]]</f>
        <v>109729.01999999999</v>
      </c>
    </row>
    <row r="94" spans="1:12" x14ac:dyDescent="0.3">
      <c r="A94">
        <v>1093</v>
      </c>
      <c r="B94" s="1" t="s">
        <v>123</v>
      </c>
      <c r="C94" s="1" t="s">
        <v>532</v>
      </c>
      <c r="D94">
        <v>56</v>
      </c>
      <c r="E94" s="1" t="s">
        <v>17</v>
      </c>
      <c r="F94" s="2">
        <v>45249</v>
      </c>
      <c r="G94" s="1" t="s">
        <v>34</v>
      </c>
      <c r="H94" s="1" t="s">
        <v>14</v>
      </c>
      <c r="I94">
        <v>3</v>
      </c>
      <c r="J94">
        <v>17943.28</v>
      </c>
      <c r="K94" s="1" t="s">
        <v>39</v>
      </c>
      <c r="L94" s="1">
        <f>customer_project_data_500_rows[[#This Row],[Quantity]]*customer_project_data_500_rows[[#This Row],[Price]]</f>
        <v>53829.84</v>
      </c>
    </row>
    <row r="95" spans="1:12" x14ac:dyDescent="0.3">
      <c r="A95">
        <v>1094</v>
      </c>
      <c r="B95" s="1" t="s">
        <v>124</v>
      </c>
      <c r="C95" s="1" t="s">
        <v>531</v>
      </c>
      <c r="D95">
        <v>50</v>
      </c>
      <c r="E95" s="1" t="s">
        <v>29</v>
      </c>
      <c r="F95" s="2">
        <v>44955</v>
      </c>
      <c r="G95" s="1" t="s">
        <v>30</v>
      </c>
      <c r="H95" s="1" t="s">
        <v>14</v>
      </c>
      <c r="I95">
        <v>1</v>
      </c>
      <c r="J95">
        <v>24217.39</v>
      </c>
      <c r="K95" s="1" t="s">
        <v>20</v>
      </c>
      <c r="L95" s="1">
        <f>customer_project_data_500_rows[[#This Row],[Quantity]]*customer_project_data_500_rows[[#This Row],[Price]]</f>
        <v>24217.39</v>
      </c>
    </row>
    <row r="96" spans="1:12" x14ac:dyDescent="0.3">
      <c r="A96">
        <v>1095</v>
      </c>
      <c r="B96" s="1" t="s">
        <v>125</v>
      </c>
      <c r="C96" s="1" t="s">
        <v>531</v>
      </c>
      <c r="D96">
        <v>48</v>
      </c>
      <c r="E96" s="1" t="s">
        <v>36</v>
      </c>
      <c r="F96" s="2">
        <v>45307</v>
      </c>
      <c r="G96" s="1" t="s">
        <v>30</v>
      </c>
      <c r="H96" s="1" t="s">
        <v>19</v>
      </c>
      <c r="I96">
        <v>2</v>
      </c>
      <c r="J96">
        <v>40796.65</v>
      </c>
      <c r="K96" s="1" t="s">
        <v>37</v>
      </c>
      <c r="L96" s="1">
        <f>customer_project_data_500_rows[[#This Row],[Quantity]]*customer_project_data_500_rows[[#This Row],[Price]]</f>
        <v>81593.3</v>
      </c>
    </row>
    <row r="97" spans="1:12" x14ac:dyDescent="0.3">
      <c r="A97">
        <v>1096</v>
      </c>
      <c r="B97" s="1" t="s">
        <v>126</v>
      </c>
      <c r="C97" s="1" t="s">
        <v>42</v>
      </c>
      <c r="D97">
        <v>40</v>
      </c>
      <c r="E97" s="1" t="s">
        <v>36</v>
      </c>
      <c r="F97" s="2">
        <v>45368</v>
      </c>
      <c r="G97" s="1" t="s">
        <v>18</v>
      </c>
      <c r="H97" s="1" t="s">
        <v>23</v>
      </c>
      <c r="I97">
        <v>4</v>
      </c>
      <c r="J97">
        <v>42000.94</v>
      </c>
      <c r="K97" s="1" t="s">
        <v>20</v>
      </c>
      <c r="L97" s="1">
        <f>customer_project_data_500_rows[[#This Row],[Quantity]]*customer_project_data_500_rows[[#This Row],[Price]]</f>
        <v>168003.76</v>
      </c>
    </row>
    <row r="98" spans="1:12" x14ac:dyDescent="0.3">
      <c r="A98">
        <v>1097</v>
      </c>
      <c r="B98" s="1" t="s">
        <v>127</v>
      </c>
      <c r="C98" s="1" t="s">
        <v>532</v>
      </c>
      <c r="D98">
        <v>23</v>
      </c>
      <c r="E98" s="1" t="s">
        <v>12</v>
      </c>
      <c r="F98" s="2">
        <v>45011</v>
      </c>
      <c r="G98" s="1" t="s">
        <v>13</v>
      </c>
      <c r="H98" s="1" t="s">
        <v>23</v>
      </c>
      <c r="I98">
        <v>2</v>
      </c>
      <c r="J98">
        <v>16335.88</v>
      </c>
      <c r="K98" s="1" t="s">
        <v>20</v>
      </c>
      <c r="L98" s="1">
        <f>customer_project_data_500_rows[[#This Row],[Quantity]]*customer_project_data_500_rows[[#This Row],[Price]]</f>
        <v>32671.759999999998</v>
      </c>
    </row>
    <row r="99" spans="1:12" x14ac:dyDescent="0.3">
      <c r="A99">
        <v>1098</v>
      </c>
      <c r="B99" s="1" t="s">
        <v>128</v>
      </c>
      <c r="C99" s="1" t="s">
        <v>531</v>
      </c>
      <c r="D99">
        <v>45</v>
      </c>
      <c r="E99" s="1" t="s">
        <v>36</v>
      </c>
      <c r="F99" s="2">
        <v>45532</v>
      </c>
      <c r="G99" s="1" t="s">
        <v>13</v>
      </c>
      <c r="H99" s="1" t="s">
        <v>23</v>
      </c>
      <c r="I99">
        <v>1</v>
      </c>
      <c r="J99">
        <v>711.12</v>
      </c>
      <c r="K99" s="1" t="s">
        <v>15</v>
      </c>
      <c r="L99" s="1">
        <f>customer_project_data_500_rows[[#This Row],[Quantity]]*customer_project_data_500_rows[[#This Row],[Price]]</f>
        <v>711.12</v>
      </c>
    </row>
    <row r="100" spans="1:12" x14ac:dyDescent="0.3">
      <c r="A100">
        <v>1099</v>
      </c>
      <c r="B100" s="1" t="s">
        <v>129</v>
      </c>
      <c r="C100" s="1" t="s">
        <v>42</v>
      </c>
      <c r="D100">
        <v>49</v>
      </c>
      <c r="E100" s="1" t="s">
        <v>29</v>
      </c>
      <c r="F100" s="2">
        <v>45203</v>
      </c>
      <c r="G100" s="1" t="s">
        <v>30</v>
      </c>
      <c r="H100" s="1" t="s">
        <v>14</v>
      </c>
      <c r="I100">
        <v>2</v>
      </c>
      <c r="J100">
        <v>2823.08</v>
      </c>
      <c r="K100" s="1" t="s">
        <v>15</v>
      </c>
      <c r="L100" s="1">
        <f>customer_project_data_500_rows[[#This Row],[Quantity]]*customer_project_data_500_rows[[#This Row],[Price]]</f>
        <v>5646.16</v>
      </c>
    </row>
    <row r="101" spans="1:12" x14ac:dyDescent="0.3">
      <c r="A101">
        <v>1100</v>
      </c>
      <c r="B101" s="1" t="s">
        <v>130</v>
      </c>
      <c r="C101" s="1" t="s">
        <v>42</v>
      </c>
      <c r="D101">
        <v>59</v>
      </c>
      <c r="E101" s="1" t="s">
        <v>17</v>
      </c>
      <c r="F101" s="2">
        <v>45086</v>
      </c>
      <c r="G101" s="1" t="s">
        <v>34</v>
      </c>
      <c r="H101" s="1" t="s">
        <v>14</v>
      </c>
      <c r="I101">
        <v>5</v>
      </c>
      <c r="J101">
        <v>37021.47</v>
      </c>
      <c r="K101" s="1" t="s">
        <v>20</v>
      </c>
      <c r="L101" s="1">
        <f>customer_project_data_500_rows[[#This Row],[Quantity]]*customer_project_data_500_rows[[#This Row],[Price]]</f>
        <v>185107.35</v>
      </c>
    </row>
    <row r="102" spans="1:12" x14ac:dyDescent="0.3">
      <c r="A102">
        <v>1101</v>
      </c>
      <c r="B102" s="1" t="s">
        <v>131</v>
      </c>
      <c r="C102" s="1" t="s">
        <v>532</v>
      </c>
      <c r="D102">
        <v>40</v>
      </c>
      <c r="E102" s="1" t="s">
        <v>32</v>
      </c>
      <c r="F102" s="2">
        <v>45208</v>
      </c>
      <c r="G102" s="1" t="s">
        <v>13</v>
      </c>
      <c r="H102" s="1" t="s">
        <v>19</v>
      </c>
      <c r="I102">
        <v>5</v>
      </c>
      <c r="J102">
        <v>13995.3</v>
      </c>
      <c r="K102" s="1" t="s">
        <v>26</v>
      </c>
      <c r="L102" s="1">
        <f>customer_project_data_500_rows[[#This Row],[Quantity]]*customer_project_data_500_rows[[#This Row],[Price]]</f>
        <v>69976.5</v>
      </c>
    </row>
    <row r="103" spans="1:12" x14ac:dyDescent="0.3">
      <c r="A103">
        <v>1102</v>
      </c>
      <c r="B103" s="1" t="s">
        <v>132</v>
      </c>
      <c r="C103" s="1" t="s">
        <v>531</v>
      </c>
      <c r="D103">
        <v>30</v>
      </c>
      <c r="E103" s="1" t="s">
        <v>32</v>
      </c>
      <c r="F103" s="2">
        <v>45160</v>
      </c>
      <c r="G103" s="1" t="s">
        <v>34</v>
      </c>
      <c r="H103" s="1" t="s">
        <v>23</v>
      </c>
      <c r="I103">
        <v>5</v>
      </c>
      <c r="J103">
        <v>24333.55</v>
      </c>
      <c r="K103" s="1" t="s">
        <v>15</v>
      </c>
      <c r="L103" s="1">
        <f>customer_project_data_500_rows[[#This Row],[Quantity]]*customer_project_data_500_rows[[#This Row],[Price]]</f>
        <v>121667.75</v>
      </c>
    </row>
    <row r="104" spans="1:12" x14ac:dyDescent="0.3">
      <c r="A104">
        <v>1103</v>
      </c>
      <c r="B104" s="1" t="s">
        <v>133</v>
      </c>
      <c r="C104" s="1" t="s">
        <v>531</v>
      </c>
      <c r="D104">
        <v>63</v>
      </c>
      <c r="E104" s="1" t="s">
        <v>29</v>
      </c>
      <c r="F104" s="2">
        <v>45246</v>
      </c>
      <c r="G104" s="1" t="s">
        <v>13</v>
      </c>
      <c r="H104" s="1" t="s">
        <v>19</v>
      </c>
      <c r="I104">
        <v>3</v>
      </c>
      <c r="J104">
        <v>10005.549999999999</v>
      </c>
      <c r="K104" s="1" t="s">
        <v>39</v>
      </c>
      <c r="L104" s="1">
        <f>customer_project_data_500_rows[[#This Row],[Quantity]]*customer_project_data_500_rows[[#This Row],[Price]]</f>
        <v>30016.649999999998</v>
      </c>
    </row>
    <row r="105" spans="1:12" x14ac:dyDescent="0.3">
      <c r="A105">
        <v>1104</v>
      </c>
      <c r="B105" s="1" t="s">
        <v>134</v>
      </c>
      <c r="C105" s="1" t="s">
        <v>532</v>
      </c>
      <c r="D105">
        <v>40</v>
      </c>
      <c r="E105" s="1" t="s">
        <v>36</v>
      </c>
      <c r="F105" s="2">
        <v>44986</v>
      </c>
      <c r="G105" s="1" t="s">
        <v>13</v>
      </c>
      <c r="H105" s="1" t="s">
        <v>23</v>
      </c>
      <c r="I105">
        <v>2</v>
      </c>
      <c r="J105">
        <v>42432.09</v>
      </c>
      <c r="K105" s="1" t="s">
        <v>26</v>
      </c>
      <c r="L105" s="1">
        <f>customer_project_data_500_rows[[#This Row],[Quantity]]*customer_project_data_500_rows[[#This Row],[Price]]</f>
        <v>84864.18</v>
      </c>
    </row>
    <row r="106" spans="1:12" x14ac:dyDescent="0.3">
      <c r="A106">
        <v>1105</v>
      </c>
      <c r="B106" s="1" t="s">
        <v>135</v>
      </c>
      <c r="C106" s="1" t="s">
        <v>532</v>
      </c>
      <c r="D106">
        <v>56</v>
      </c>
      <c r="E106" s="1" t="s">
        <v>17</v>
      </c>
      <c r="F106" s="2">
        <v>45165</v>
      </c>
      <c r="G106" s="1" t="s">
        <v>22</v>
      </c>
      <c r="H106" s="1" t="s">
        <v>14</v>
      </c>
      <c r="I106">
        <v>2</v>
      </c>
      <c r="J106">
        <v>25417.19</v>
      </c>
      <c r="K106" s="1" t="s">
        <v>39</v>
      </c>
      <c r="L106" s="1">
        <f>customer_project_data_500_rows[[#This Row],[Quantity]]*customer_project_data_500_rows[[#This Row],[Price]]</f>
        <v>50834.38</v>
      </c>
    </row>
    <row r="107" spans="1:12" x14ac:dyDescent="0.3">
      <c r="A107">
        <v>1106</v>
      </c>
      <c r="B107" s="1" t="s">
        <v>136</v>
      </c>
      <c r="C107" s="1" t="s">
        <v>532</v>
      </c>
      <c r="D107">
        <v>36</v>
      </c>
      <c r="E107" s="1" t="s">
        <v>32</v>
      </c>
      <c r="F107" s="2">
        <v>45175</v>
      </c>
      <c r="G107" s="1" t="s">
        <v>22</v>
      </c>
      <c r="H107" s="1" t="s">
        <v>14</v>
      </c>
      <c r="I107">
        <v>4</v>
      </c>
      <c r="J107">
        <v>26594.43</v>
      </c>
      <c r="K107" s="1" t="s">
        <v>20</v>
      </c>
      <c r="L107" s="1">
        <f>customer_project_data_500_rows[[#This Row],[Quantity]]*customer_project_data_500_rows[[#This Row],[Price]]</f>
        <v>106377.72</v>
      </c>
    </row>
    <row r="108" spans="1:12" x14ac:dyDescent="0.3">
      <c r="A108">
        <v>1107</v>
      </c>
      <c r="B108" s="1" t="s">
        <v>137</v>
      </c>
      <c r="C108" s="1" t="s">
        <v>42</v>
      </c>
      <c r="D108">
        <v>47</v>
      </c>
      <c r="E108" s="1" t="s">
        <v>32</v>
      </c>
      <c r="F108" s="2">
        <v>45456</v>
      </c>
      <c r="G108" s="1" t="s">
        <v>34</v>
      </c>
      <c r="H108" s="1" t="s">
        <v>23</v>
      </c>
      <c r="I108">
        <v>1</v>
      </c>
      <c r="J108">
        <v>14759.94</v>
      </c>
      <c r="K108" s="1" t="s">
        <v>20</v>
      </c>
      <c r="L108" s="1">
        <f>customer_project_data_500_rows[[#This Row],[Quantity]]*customer_project_data_500_rows[[#This Row],[Price]]</f>
        <v>14759.94</v>
      </c>
    </row>
    <row r="109" spans="1:12" x14ac:dyDescent="0.3">
      <c r="A109">
        <v>1108</v>
      </c>
      <c r="B109" s="1" t="s">
        <v>138</v>
      </c>
      <c r="C109" s="1" t="s">
        <v>532</v>
      </c>
      <c r="D109">
        <v>47</v>
      </c>
      <c r="E109" s="1" t="s">
        <v>17</v>
      </c>
      <c r="F109" s="2">
        <v>45308</v>
      </c>
      <c r="G109" s="1" t="s">
        <v>18</v>
      </c>
      <c r="H109" s="1" t="s">
        <v>14</v>
      </c>
      <c r="I109">
        <v>3</v>
      </c>
      <c r="J109">
        <v>25843.96</v>
      </c>
      <c r="K109" s="1" t="s">
        <v>15</v>
      </c>
      <c r="L109" s="1">
        <f>customer_project_data_500_rows[[#This Row],[Quantity]]*customer_project_data_500_rows[[#This Row],[Price]]</f>
        <v>77531.88</v>
      </c>
    </row>
    <row r="110" spans="1:12" x14ac:dyDescent="0.3">
      <c r="A110">
        <v>1109</v>
      </c>
      <c r="B110" s="1" t="s">
        <v>139</v>
      </c>
      <c r="C110" s="1" t="s">
        <v>531</v>
      </c>
      <c r="D110">
        <v>36</v>
      </c>
      <c r="E110" s="1" t="s">
        <v>17</v>
      </c>
      <c r="F110" s="2">
        <v>45589</v>
      </c>
      <c r="G110" s="1" t="s">
        <v>25</v>
      </c>
      <c r="H110" s="1" t="s">
        <v>14</v>
      </c>
      <c r="I110">
        <v>3</v>
      </c>
      <c r="J110">
        <v>597.20000000000005</v>
      </c>
      <c r="K110" s="1" t="s">
        <v>39</v>
      </c>
      <c r="L110" s="1">
        <f>customer_project_data_500_rows[[#This Row],[Quantity]]*customer_project_data_500_rows[[#This Row],[Price]]</f>
        <v>1791.6000000000001</v>
      </c>
    </row>
    <row r="111" spans="1:12" x14ac:dyDescent="0.3">
      <c r="A111">
        <v>1110</v>
      </c>
      <c r="B111" s="1" t="s">
        <v>140</v>
      </c>
      <c r="C111" s="1" t="s">
        <v>532</v>
      </c>
      <c r="D111">
        <v>49</v>
      </c>
      <c r="E111" s="1" t="s">
        <v>36</v>
      </c>
      <c r="F111" s="2">
        <v>45196</v>
      </c>
      <c r="G111" s="1" t="s">
        <v>22</v>
      </c>
      <c r="H111" s="1" t="s">
        <v>14</v>
      </c>
      <c r="I111">
        <v>5</v>
      </c>
      <c r="J111">
        <v>14226.1</v>
      </c>
      <c r="K111" s="1" t="s">
        <v>39</v>
      </c>
      <c r="L111" s="1">
        <f>customer_project_data_500_rows[[#This Row],[Quantity]]*customer_project_data_500_rows[[#This Row],[Price]]</f>
        <v>71130.5</v>
      </c>
    </row>
    <row r="112" spans="1:12" x14ac:dyDescent="0.3">
      <c r="A112">
        <v>1111</v>
      </c>
      <c r="B112" s="1" t="s">
        <v>141</v>
      </c>
      <c r="C112" s="1" t="s">
        <v>531</v>
      </c>
      <c r="D112">
        <v>52</v>
      </c>
      <c r="E112" s="1" t="s">
        <v>32</v>
      </c>
      <c r="F112" s="2">
        <v>45469</v>
      </c>
      <c r="G112" s="1" t="s">
        <v>22</v>
      </c>
      <c r="H112" s="1" t="s">
        <v>23</v>
      </c>
      <c r="I112">
        <v>1</v>
      </c>
      <c r="J112">
        <v>17763.77</v>
      </c>
      <c r="K112" s="1" t="s">
        <v>15</v>
      </c>
      <c r="L112" s="1">
        <f>customer_project_data_500_rows[[#This Row],[Quantity]]*customer_project_data_500_rows[[#This Row],[Price]]</f>
        <v>17763.77</v>
      </c>
    </row>
    <row r="113" spans="1:12" x14ac:dyDescent="0.3">
      <c r="A113">
        <v>1112</v>
      </c>
      <c r="B113" s="1" t="s">
        <v>142</v>
      </c>
      <c r="C113" s="1" t="s">
        <v>532</v>
      </c>
      <c r="D113">
        <v>37</v>
      </c>
      <c r="E113" s="1" t="s">
        <v>36</v>
      </c>
      <c r="F113" s="2">
        <v>45334</v>
      </c>
      <c r="G113" s="1" t="s">
        <v>18</v>
      </c>
      <c r="H113" s="1" t="s">
        <v>23</v>
      </c>
      <c r="I113">
        <v>3</v>
      </c>
      <c r="J113">
        <v>14555.57</v>
      </c>
      <c r="K113" s="1" t="s">
        <v>20</v>
      </c>
      <c r="L113" s="1">
        <f>customer_project_data_500_rows[[#This Row],[Quantity]]*customer_project_data_500_rows[[#This Row],[Price]]</f>
        <v>43666.71</v>
      </c>
    </row>
    <row r="114" spans="1:12" x14ac:dyDescent="0.3">
      <c r="A114">
        <v>1113</v>
      </c>
      <c r="B114" s="1" t="s">
        <v>143</v>
      </c>
      <c r="C114" s="1" t="s">
        <v>532</v>
      </c>
      <c r="D114">
        <v>47</v>
      </c>
      <c r="E114" s="1" t="s">
        <v>36</v>
      </c>
      <c r="F114" s="2">
        <v>45283</v>
      </c>
      <c r="G114" s="1" t="s">
        <v>13</v>
      </c>
      <c r="H114" s="1" t="s">
        <v>14</v>
      </c>
      <c r="I114">
        <v>3</v>
      </c>
      <c r="J114">
        <v>4754.6400000000003</v>
      </c>
      <c r="K114" s="1" t="s">
        <v>15</v>
      </c>
      <c r="L114" s="1">
        <f>customer_project_data_500_rows[[#This Row],[Quantity]]*customer_project_data_500_rows[[#This Row],[Price]]</f>
        <v>14263.920000000002</v>
      </c>
    </row>
    <row r="115" spans="1:12" x14ac:dyDescent="0.3">
      <c r="A115">
        <v>1114</v>
      </c>
      <c r="B115" s="1" t="s">
        <v>144</v>
      </c>
      <c r="C115" s="1" t="s">
        <v>42</v>
      </c>
      <c r="D115">
        <v>63</v>
      </c>
      <c r="E115" s="1" t="s">
        <v>32</v>
      </c>
      <c r="F115" s="2">
        <v>45588</v>
      </c>
      <c r="G115" s="1" t="s">
        <v>25</v>
      </c>
      <c r="H115" s="1" t="s">
        <v>14</v>
      </c>
      <c r="I115">
        <v>5</v>
      </c>
      <c r="J115">
        <v>26328.17</v>
      </c>
      <c r="K115" s="1" t="s">
        <v>39</v>
      </c>
      <c r="L115" s="1">
        <f>customer_project_data_500_rows[[#This Row],[Quantity]]*customer_project_data_500_rows[[#This Row],[Price]]</f>
        <v>131640.84999999998</v>
      </c>
    </row>
    <row r="116" spans="1:12" x14ac:dyDescent="0.3">
      <c r="A116">
        <v>1115</v>
      </c>
      <c r="B116" s="1" t="s">
        <v>145</v>
      </c>
      <c r="C116" s="1" t="s">
        <v>532</v>
      </c>
      <c r="D116">
        <v>61</v>
      </c>
      <c r="E116" s="1" t="s">
        <v>32</v>
      </c>
      <c r="F116" s="2">
        <v>44998</v>
      </c>
      <c r="G116" s="1" t="s">
        <v>25</v>
      </c>
      <c r="H116" s="1" t="s">
        <v>14</v>
      </c>
      <c r="I116">
        <v>5</v>
      </c>
      <c r="J116">
        <v>39529.72</v>
      </c>
      <c r="K116" s="1" t="s">
        <v>37</v>
      </c>
      <c r="L116" s="1">
        <f>customer_project_data_500_rows[[#This Row],[Quantity]]*customer_project_data_500_rows[[#This Row],[Price]]</f>
        <v>197648.6</v>
      </c>
    </row>
    <row r="117" spans="1:12" x14ac:dyDescent="0.3">
      <c r="A117">
        <v>1116</v>
      </c>
      <c r="B117" s="1" t="s">
        <v>146</v>
      </c>
      <c r="C117" s="1" t="s">
        <v>531</v>
      </c>
      <c r="D117">
        <v>40</v>
      </c>
      <c r="E117" s="1" t="s">
        <v>29</v>
      </c>
      <c r="F117" s="2">
        <v>45442</v>
      </c>
      <c r="G117" s="1" t="s">
        <v>22</v>
      </c>
      <c r="H117" s="1" t="s">
        <v>19</v>
      </c>
      <c r="I117">
        <v>1</v>
      </c>
      <c r="J117">
        <v>47158.62</v>
      </c>
      <c r="K117" s="1" t="s">
        <v>39</v>
      </c>
      <c r="L117" s="1">
        <f>customer_project_data_500_rows[[#This Row],[Quantity]]*customer_project_data_500_rows[[#This Row],[Price]]</f>
        <v>47158.62</v>
      </c>
    </row>
    <row r="118" spans="1:12" x14ac:dyDescent="0.3">
      <c r="A118">
        <v>1117</v>
      </c>
      <c r="B118" s="1" t="s">
        <v>147</v>
      </c>
      <c r="C118" s="1" t="s">
        <v>42</v>
      </c>
      <c r="D118">
        <v>33</v>
      </c>
      <c r="E118" s="1" t="s">
        <v>12</v>
      </c>
      <c r="F118" s="2">
        <v>45590</v>
      </c>
      <c r="G118" s="1" t="s">
        <v>30</v>
      </c>
      <c r="H118" s="1" t="s">
        <v>19</v>
      </c>
      <c r="I118">
        <v>2</v>
      </c>
      <c r="J118">
        <v>25115.84</v>
      </c>
      <c r="K118" s="1" t="s">
        <v>39</v>
      </c>
      <c r="L118" s="1">
        <f>customer_project_data_500_rows[[#This Row],[Quantity]]*customer_project_data_500_rows[[#This Row],[Price]]</f>
        <v>50231.68</v>
      </c>
    </row>
    <row r="119" spans="1:12" x14ac:dyDescent="0.3">
      <c r="A119">
        <v>1118</v>
      </c>
      <c r="B119" s="1" t="s">
        <v>148</v>
      </c>
      <c r="C119" s="1" t="s">
        <v>532</v>
      </c>
      <c r="D119">
        <v>25</v>
      </c>
      <c r="E119" s="1" t="s">
        <v>36</v>
      </c>
      <c r="F119" s="2">
        <v>45446</v>
      </c>
      <c r="G119" s="1" t="s">
        <v>18</v>
      </c>
      <c r="H119" s="1" t="s">
        <v>19</v>
      </c>
      <c r="I119">
        <v>1</v>
      </c>
      <c r="J119">
        <v>29890.82</v>
      </c>
      <c r="K119" s="1" t="s">
        <v>26</v>
      </c>
      <c r="L119" s="1">
        <f>customer_project_data_500_rows[[#This Row],[Quantity]]*customer_project_data_500_rows[[#This Row],[Price]]</f>
        <v>29890.82</v>
      </c>
    </row>
    <row r="120" spans="1:12" x14ac:dyDescent="0.3">
      <c r="A120">
        <v>1119</v>
      </c>
      <c r="B120" s="1" t="s">
        <v>149</v>
      </c>
      <c r="C120" s="1" t="s">
        <v>531</v>
      </c>
      <c r="D120">
        <v>46</v>
      </c>
      <c r="E120" s="1" t="s">
        <v>32</v>
      </c>
      <c r="F120" s="2">
        <v>45416</v>
      </c>
      <c r="G120" s="1" t="s">
        <v>25</v>
      </c>
      <c r="H120" s="1" t="s">
        <v>23</v>
      </c>
      <c r="I120">
        <v>3</v>
      </c>
      <c r="J120">
        <v>14897.57</v>
      </c>
      <c r="K120" s="1" t="s">
        <v>26</v>
      </c>
      <c r="L120" s="1">
        <f>customer_project_data_500_rows[[#This Row],[Quantity]]*customer_project_data_500_rows[[#This Row],[Price]]</f>
        <v>44692.71</v>
      </c>
    </row>
    <row r="121" spans="1:12" x14ac:dyDescent="0.3">
      <c r="A121">
        <v>1120</v>
      </c>
      <c r="B121" s="1" t="s">
        <v>150</v>
      </c>
      <c r="C121" s="1" t="s">
        <v>531</v>
      </c>
      <c r="D121">
        <v>37</v>
      </c>
      <c r="E121" s="1" t="s">
        <v>36</v>
      </c>
      <c r="F121" s="2">
        <v>45235</v>
      </c>
      <c r="G121" s="1" t="s">
        <v>22</v>
      </c>
      <c r="H121" s="1" t="s">
        <v>23</v>
      </c>
      <c r="I121">
        <v>3</v>
      </c>
      <c r="J121">
        <v>7883.4</v>
      </c>
      <c r="K121" s="1" t="s">
        <v>26</v>
      </c>
      <c r="L121" s="1">
        <f>customer_project_data_500_rows[[#This Row],[Quantity]]*customer_project_data_500_rows[[#This Row],[Price]]</f>
        <v>23650.199999999997</v>
      </c>
    </row>
    <row r="122" spans="1:12" x14ac:dyDescent="0.3">
      <c r="A122">
        <v>1121</v>
      </c>
      <c r="B122" s="1" t="s">
        <v>151</v>
      </c>
      <c r="C122" s="1" t="s">
        <v>532</v>
      </c>
      <c r="D122">
        <v>45</v>
      </c>
      <c r="E122" s="1" t="s">
        <v>32</v>
      </c>
      <c r="F122" s="2">
        <v>45469</v>
      </c>
      <c r="G122" s="1" t="s">
        <v>30</v>
      </c>
      <c r="H122" s="1" t="s">
        <v>14</v>
      </c>
      <c r="I122">
        <v>1</v>
      </c>
      <c r="J122">
        <v>7027.65</v>
      </c>
      <c r="K122" s="1" t="s">
        <v>20</v>
      </c>
      <c r="L122" s="1">
        <f>customer_project_data_500_rows[[#This Row],[Quantity]]*customer_project_data_500_rows[[#This Row],[Price]]</f>
        <v>7027.65</v>
      </c>
    </row>
    <row r="123" spans="1:12" x14ac:dyDescent="0.3">
      <c r="A123">
        <v>1122</v>
      </c>
      <c r="B123" s="1" t="s">
        <v>152</v>
      </c>
      <c r="C123" s="1" t="s">
        <v>42</v>
      </c>
      <c r="D123">
        <v>61</v>
      </c>
      <c r="E123" s="1" t="s">
        <v>32</v>
      </c>
      <c r="F123" s="2">
        <v>45030</v>
      </c>
      <c r="G123" s="1" t="s">
        <v>30</v>
      </c>
      <c r="H123" s="1" t="s">
        <v>19</v>
      </c>
      <c r="I123">
        <v>2</v>
      </c>
      <c r="J123">
        <v>36751.86</v>
      </c>
      <c r="K123" s="1" t="s">
        <v>39</v>
      </c>
      <c r="L123" s="1">
        <f>customer_project_data_500_rows[[#This Row],[Quantity]]*customer_project_data_500_rows[[#This Row],[Price]]</f>
        <v>73503.72</v>
      </c>
    </row>
    <row r="124" spans="1:12" x14ac:dyDescent="0.3">
      <c r="A124">
        <v>1123</v>
      </c>
      <c r="B124" s="1" t="s">
        <v>153</v>
      </c>
      <c r="C124" s="1" t="s">
        <v>532</v>
      </c>
      <c r="D124">
        <v>37</v>
      </c>
      <c r="E124" s="1" t="s">
        <v>32</v>
      </c>
      <c r="F124" s="2">
        <v>45279</v>
      </c>
      <c r="G124" s="1" t="s">
        <v>30</v>
      </c>
      <c r="H124" s="1" t="s">
        <v>19</v>
      </c>
      <c r="I124">
        <v>2</v>
      </c>
      <c r="J124">
        <v>36856.239999999998</v>
      </c>
      <c r="K124" s="1" t="s">
        <v>26</v>
      </c>
      <c r="L124" s="1">
        <f>customer_project_data_500_rows[[#This Row],[Quantity]]*customer_project_data_500_rows[[#This Row],[Price]]</f>
        <v>73712.479999999996</v>
      </c>
    </row>
    <row r="125" spans="1:12" x14ac:dyDescent="0.3">
      <c r="A125">
        <v>1124</v>
      </c>
      <c r="B125" s="1" t="s">
        <v>154</v>
      </c>
      <c r="C125" s="1" t="s">
        <v>532</v>
      </c>
      <c r="D125">
        <v>33</v>
      </c>
      <c r="E125" s="1" t="s">
        <v>12</v>
      </c>
      <c r="F125" s="2">
        <v>45523</v>
      </c>
      <c r="G125" s="1" t="s">
        <v>34</v>
      </c>
      <c r="H125" s="1" t="s">
        <v>23</v>
      </c>
      <c r="I125">
        <v>2</v>
      </c>
      <c r="J125">
        <v>9377.83</v>
      </c>
      <c r="K125" s="1" t="s">
        <v>15</v>
      </c>
      <c r="L125" s="1">
        <f>customer_project_data_500_rows[[#This Row],[Quantity]]*customer_project_data_500_rows[[#This Row],[Price]]</f>
        <v>18755.66</v>
      </c>
    </row>
    <row r="126" spans="1:12" x14ac:dyDescent="0.3">
      <c r="A126">
        <v>1125</v>
      </c>
      <c r="B126" s="1" t="s">
        <v>155</v>
      </c>
      <c r="C126" s="1" t="s">
        <v>532</v>
      </c>
      <c r="D126">
        <v>24</v>
      </c>
      <c r="E126" s="1" t="s">
        <v>36</v>
      </c>
      <c r="F126" s="2">
        <v>45000</v>
      </c>
      <c r="G126" s="1" t="s">
        <v>25</v>
      </c>
      <c r="H126" s="1" t="s">
        <v>23</v>
      </c>
      <c r="I126">
        <v>3</v>
      </c>
      <c r="J126">
        <v>20971.240000000002</v>
      </c>
      <c r="K126" s="1" t="s">
        <v>37</v>
      </c>
      <c r="L126" s="1">
        <f>customer_project_data_500_rows[[#This Row],[Quantity]]*customer_project_data_500_rows[[#This Row],[Price]]</f>
        <v>62913.72</v>
      </c>
    </row>
    <row r="127" spans="1:12" x14ac:dyDescent="0.3">
      <c r="A127">
        <v>1126</v>
      </c>
      <c r="B127" s="1" t="s">
        <v>156</v>
      </c>
      <c r="C127" s="1" t="s">
        <v>532</v>
      </c>
      <c r="D127">
        <v>42</v>
      </c>
      <c r="E127" s="1" t="s">
        <v>29</v>
      </c>
      <c r="F127" s="2">
        <v>45094</v>
      </c>
      <c r="G127" s="1" t="s">
        <v>34</v>
      </c>
      <c r="H127" s="1" t="s">
        <v>14</v>
      </c>
      <c r="I127">
        <v>4</v>
      </c>
      <c r="J127">
        <v>29910.14</v>
      </c>
      <c r="K127" s="1" t="s">
        <v>39</v>
      </c>
      <c r="L127" s="1">
        <f>customer_project_data_500_rows[[#This Row],[Quantity]]*customer_project_data_500_rows[[#This Row],[Price]]</f>
        <v>119640.56</v>
      </c>
    </row>
    <row r="128" spans="1:12" x14ac:dyDescent="0.3">
      <c r="A128">
        <v>1127</v>
      </c>
      <c r="B128" s="1" t="s">
        <v>157</v>
      </c>
      <c r="C128" s="1" t="s">
        <v>531</v>
      </c>
      <c r="D128">
        <v>40</v>
      </c>
      <c r="E128" s="1" t="s">
        <v>32</v>
      </c>
      <c r="F128" s="2">
        <v>45115</v>
      </c>
      <c r="G128" s="1" t="s">
        <v>18</v>
      </c>
      <c r="H128" s="1" t="s">
        <v>14</v>
      </c>
      <c r="I128">
        <v>4</v>
      </c>
      <c r="J128">
        <v>6701.46</v>
      </c>
      <c r="K128" s="1" t="s">
        <v>26</v>
      </c>
      <c r="L128" s="1">
        <f>customer_project_data_500_rows[[#This Row],[Quantity]]*customer_project_data_500_rows[[#This Row],[Price]]</f>
        <v>26805.84</v>
      </c>
    </row>
    <row r="129" spans="1:12" x14ac:dyDescent="0.3">
      <c r="A129">
        <v>1128</v>
      </c>
      <c r="B129" s="1" t="s">
        <v>158</v>
      </c>
      <c r="C129" s="1" t="s">
        <v>42</v>
      </c>
      <c r="D129">
        <v>29</v>
      </c>
      <c r="E129" s="1" t="s">
        <v>12</v>
      </c>
      <c r="F129" s="2">
        <v>45557</v>
      </c>
      <c r="G129" s="1" t="s">
        <v>34</v>
      </c>
      <c r="H129" s="1" t="s">
        <v>14</v>
      </c>
      <c r="I129">
        <v>3</v>
      </c>
      <c r="J129">
        <v>39375.760000000002</v>
      </c>
      <c r="K129" s="1" t="s">
        <v>20</v>
      </c>
      <c r="L129" s="1">
        <f>customer_project_data_500_rows[[#This Row],[Quantity]]*customer_project_data_500_rows[[#This Row],[Price]]</f>
        <v>118127.28</v>
      </c>
    </row>
    <row r="130" spans="1:12" x14ac:dyDescent="0.3">
      <c r="A130">
        <v>1129</v>
      </c>
      <c r="B130" s="1" t="s">
        <v>159</v>
      </c>
      <c r="C130" s="1" t="s">
        <v>532</v>
      </c>
      <c r="D130">
        <v>55</v>
      </c>
      <c r="E130" s="1" t="s">
        <v>12</v>
      </c>
      <c r="F130" s="2">
        <v>45436</v>
      </c>
      <c r="G130" s="1" t="s">
        <v>18</v>
      </c>
      <c r="H130" s="1" t="s">
        <v>14</v>
      </c>
      <c r="I130">
        <v>1</v>
      </c>
      <c r="J130">
        <v>31189.61</v>
      </c>
      <c r="K130" s="1" t="s">
        <v>39</v>
      </c>
      <c r="L130" s="1">
        <f>customer_project_data_500_rows[[#This Row],[Quantity]]*customer_project_data_500_rows[[#This Row],[Price]]</f>
        <v>31189.61</v>
      </c>
    </row>
    <row r="131" spans="1:12" x14ac:dyDescent="0.3">
      <c r="A131">
        <v>1130</v>
      </c>
      <c r="B131" s="1" t="s">
        <v>160</v>
      </c>
      <c r="C131" s="1" t="s">
        <v>531</v>
      </c>
      <c r="D131">
        <v>19</v>
      </c>
      <c r="E131" s="1" t="s">
        <v>32</v>
      </c>
      <c r="F131" s="2">
        <v>45504</v>
      </c>
      <c r="G131" s="1" t="s">
        <v>25</v>
      </c>
      <c r="H131" s="1" t="s">
        <v>14</v>
      </c>
      <c r="I131">
        <v>1</v>
      </c>
      <c r="J131">
        <v>30953.47</v>
      </c>
      <c r="K131" s="1" t="s">
        <v>26</v>
      </c>
      <c r="L131" s="1">
        <f>customer_project_data_500_rows[[#This Row],[Quantity]]*customer_project_data_500_rows[[#This Row],[Price]]</f>
        <v>30953.47</v>
      </c>
    </row>
    <row r="132" spans="1:12" x14ac:dyDescent="0.3">
      <c r="A132">
        <v>1131</v>
      </c>
      <c r="B132" s="1" t="s">
        <v>161</v>
      </c>
      <c r="C132" s="1" t="s">
        <v>532</v>
      </c>
      <c r="D132">
        <v>47</v>
      </c>
      <c r="E132" s="1" t="s">
        <v>17</v>
      </c>
      <c r="F132" s="2">
        <v>45431</v>
      </c>
      <c r="G132" s="1" t="s">
        <v>22</v>
      </c>
      <c r="H132" s="1" t="s">
        <v>14</v>
      </c>
      <c r="I132">
        <v>2</v>
      </c>
      <c r="J132">
        <v>35209.800000000003</v>
      </c>
      <c r="K132" s="1" t="s">
        <v>26</v>
      </c>
      <c r="L132" s="1">
        <f>customer_project_data_500_rows[[#This Row],[Quantity]]*customer_project_data_500_rows[[#This Row],[Price]]</f>
        <v>70419.600000000006</v>
      </c>
    </row>
    <row r="133" spans="1:12" x14ac:dyDescent="0.3">
      <c r="A133">
        <v>1132</v>
      </c>
      <c r="B133" s="1" t="s">
        <v>162</v>
      </c>
      <c r="C133" s="1" t="s">
        <v>42</v>
      </c>
      <c r="D133">
        <v>33</v>
      </c>
      <c r="E133" s="1" t="s">
        <v>36</v>
      </c>
      <c r="F133" s="2">
        <v>45555</v>
      </c>
      <c r="G133" s="1" t="s">
        <v>25</v>
      </c>
      <c r="H133" s="1" t="s">
        <v>14</v>
      </c>
      <c r="I133">
        <v>3</v>
      </c>
      <c r="J133">
        <v>49365.56</v>
      </c>
      <c r="K133" s="1" t="s">
        <v>26</v>
      </c>
      <c r="L133" s="1">
        <f>customer_project_data_500_rows[[#This Row],[Quantity]]*customer_project_data_500_rows[[#This Row],[Price]]</f>
        <v>148096.68</v>
      </c>
    </row>
    <row r="134" spans="1:12" x14ac:dyDescent="0.3">
      <c r="A134">
        <v>1133</v>
      </c>
      <c r="B134" s="1" t="s">
        <v>163</v>
      </c>
      <c r="C134" s="1" t="s">
        <v>531</v>
      </c>
      <c r="D134">
        <v>52</v>
      </c>
      <c r="E134" s="1" t="s">
        <v>29</v>
      </c>
      <c r="F134" s="2">
        <v>45546</v>
      </c>
      <c r="G134" s="1" t="s">
        <v>30</v>
      </c>
      <c r="H134" s="1" t="s">
        <v>14</v>
      </c>
      <c r="I134">
        <v>1</v>
      </c>
      <c r="J134">
        <v>28338.53</v>
      </c>
      <c r="K134" s="1" t="s">
        <v>37</v>
      </c>
      <c r="L134" s="1">
        <f>customer_project_data_500_rows[[#This Row],[Quantity]]*customer_project_data_500_rows[[#This Row],[Price]]</f>
        <v>28338.53</v>
      </c>
    </row>
    <row r="135" spans="1:12" x14ac:dyDescent="0.3">
      <c r="A135">
        <v>1134</v>
      </c>
      <c r="B135" s="1" t="s">
        <v>164</v>
      </c>
      <c r="C135" s="1" t="s">
        <v>42</v>
      </c>
      <c r="D135">
        <v>40</v>
      </c>
      <c r="E135" s="1" t="s">
        <v>12</v>
      </c>
      <c r="F135" s="2">
        <v>45542</v>
      </c>
      <c r="G135" s="1" t="s">
        <v>34</v>
      </c>
      <c r="H135" s="1" t="s">
        <v>14</v>
      </c>
      <c r="I135">
        <v>4</v>
      </c>
      <c r="J135">
        <v>43288.6</v>
      </c>
      <c r="K135" s="1" t="s">
        <v>26</v>
      </c>
      <c r="L135" s="1">
        <f>customer_project_data_500_rows[[#This Row],[Quantity]]*customer_project_data_500_rows[[#This Row],[Price]]</f>
        <v>173154.4</v>
      </c>
    </row>
    <row r="136" spans="1:12" x14ac:dyDescent="0.3">
      <c r="A136">
        <v>1135</v>
      </c>
      <c r="B136" s="1" t="s">
        <v>165</v>
      </c>
      <c r="C136" s="1" t="s">
        <v>532</v>
      </c>
      <c r="D136">
        <v>63</v>
      </c>
      <c r="E136" s="1" t="s">
        <v>17</v>
      </c>
      <c r="F136" s="2">
        <v>45425</v>
      </c>
      <c r="G136" s="1" t="s">
        <v>18</v>
      </c>
      <c r="H136" s="1" t="s">
        <v>19</v>
      </c>
      <c r="I136">
        <v>5</v>
      </c>
      <c r="J136">
        <v>21226.080000000002</v>
      </c>
      <c r="K136" s="1" t="s">
        <v>26</v>
      </c>
      <c r="L136" s="1">
        <f>customer_project_data_500_rows[[#This Row],[Quantity]]*customer_project_data_500_rows[[#This Row],[Price]]</f>
        <v>106130.40000000001</v>
      </c>
    </row>
    <row r="137" spans="1:12" x14ac:dyDescent="0.3">
      <c r="A137">
        <v>1136</v>
      </c>
      <c r="B137" s="1" t="s">
        <v>166</v>
      </c>
      <c r="C137" s="1" t="s">
        <v>532</v>
      </c>
      <c r="D137">
        <v>60</v>
      </c>
      <c r="E137" s="1" t="s">
        <v>12</v>
      </c>
      <c r="F137" s="2">
        <v>45073</v>
      </c>
      <c r="G137" s="1" t="s">
        <v>30</v>
      </c>
      <c r="H137" s="1" t="s">
        <v>14</v>
      </c>
      <c r="I137">
        <v>5</v>
      </c>
      <c r="J137">
        <v>32896.230000000003</v>
      </c>
      <c r="K137" s="1" t="s">
        <v>26</v>
      </c>
      <c r="L137" s="1">
        <f>customer_project_data_500_rows[[#This Row],[Quantity]]*customer_project_data_500_rows[[#This Row],[Price]]</f>
        <v>164481.15000000002</v>
      </c>
    </row>
    <row r="138" spans="1:12" x14ac:dyDescent="0.3">
      <c r="A138">
        <v>1137</v>
      </c>
      <c r="B138" s="1" t="s">
        <v>167</v>
      </c>
      <c r="C138" s="1" t="s">
        <v>42</v>
      </c>
      <c r="D138">
        <v>40</v>
      </c>
      <c r="E138" s="1" t="s">
        <v>17</v>
      </c>
      <c r="F138" s="2">
        <v>45056</v>
      </c>
      <c r="G138" s="1" t="s">
        <v>25</v>
      </c>
      <c r="H138" s="1" t="s">
        <v>14</v>
      </c>
      <c r="I138">
        <v>4</v>
      </c>
      <c r="J138">
        <v>46300.43</v>
      </c>
      <c r="K138" s="1" t="s">
        <v>37</v>
      </c>
      <c r="L138" s="1">
        <f>customer_project_data_500_rows[[#This Row],[Quantity]]*customer_project_data_500_rows[[#This Row],[Price]]</f>
        <v>185201.72</v>
      </c>
    </row>
    <row r="139" spans="1:12" x14ac:dyDescent="0.3">
      <c r="A139">
        <v>1138</v>
      </c>
      <c r="B139" s="1" t="s">
        <v>168</v>
      </c>
      <c r="C139" s="1" t="s">
        <v>42</v>
      </c>
      <c r="D139">
        <v>63</v>
      </c>
      <c r="E139" s="1" t="s">
        <v>29</v>
      </c>
      <c r="F139" s="2">
        <v>45089</v>
      </c>
      <c r="G139" s="1" t="s">
        <v>30</v>
      </c>
      <c r="H139" s="1" t="s">
        <v>19</v>
      </c>
      <c r="I139">
        <v>4</v>
      </c>
      <c r="J139">
        <v>33375.47</v>
      </c>
      <c r="K139" s="1" t="s">
        <v>37</v>
      </c>
      <c r="L139" s="1">
        <f>customer_project_data_500_rows[[#This Row],[Quantity]]*customer_project_data_500_rows[[#This Row],[Price]]</f>
        <v>133501.88</v>
      </c>
    </row>
    <row r="140" spans="1:12" x14ac:dyDescent="0.3">
      <c r="A140">
        <v>1139</v>
      </c>
      <c r="B140" s="1" t="s">
        <v>169</v>
      </c>
      <c r="C140" s="1" t="s">
        <v>42</v>
      </c>
      <c r="D140">
        <v>57</v>
      </c>
      <c r="E140" s="1" t="s">
        <v>12</v>
      </c>
      <c r="F140" s="2">
        <v>45313</v>
      </c>
      <c r="G140" s="1" t="s">
        <v>22</v>
      </c>
      <c r="H140" s="1" t="s">
        <v>19</v>
      </c>
      <c r="I140">
        <v>4</v>
      </c>
      <c r="J140">
        <v>15502.49</v>
      </c>
      <c r="K140" s="1" t="s">
        <v>37</v>
      </c>
      <c r="L140" s="1">
        <f>customer_project_data_500_rows[[#This Row],[Quantity]]*customer_project_data_500_rows[[#This Row],[Price]]</f>
        <v>62009.96</v>
      </c>
    </row>
    <row r="141" spans="1:12" x14ac:dyDescent="0.3">
      <c r="A141">
        <v>1140</v>
      </c>
      <c r="B141" s="1" t="s">
        <v>170</v>
      </c>
      <c r="C141" s="1" t="s">
        <v>532</v>
      </c>
      <c r="D141">
        <v>36</v>
      </c>
      <c r="E141" s="1" t="s">
        <v>17</v>
      </c>
      <c r="F141" s="2">
        <v>45584</v>
      </c>
      <c r="G141" s="1" t="s">
        <v>25</v>
      </c>
      <c r="H141" s="1" t="s">
        <v>23</v>
      </c>
      <c r="I141">
        <v>1</v>
      </c>
      <c r="J141">
        <v>31187.31</v>
      </c>
      <c r="K141" s="1" t="s">
        <v>15</v>
      </c>
      <c r="L141" s="1">
        <f>customer_project_data_500_rows[[#This Row],[Quantity]]*customer_project_data_500_rows[[#This Row],[Price]]</f>
        <v>31187.31</v>
      </c>
    </row>
    <row r="142" spans="1:12" x14ac:dyDescent="0.3">
      <c r="A142">
        <v>1141</v>
      </c>
      <c r="B142" s="1" t="s">
        <v>171</v>
      </c>
      <c r="C142" s="1" t="s">
        <v>531</v>
      </c>
      <c r="D142">
        <v>58</v>
      </c>
      <c r="E142" s="1" t="s">
        <v>12</v>
      </c>
      <c r="F142" s="2">
        <v>45396</v>
      </c>
      <c r="G142" s="1" t="s">
        <v>18</v>
      </c>
      <c r="H142" s="1" t="s">
        <v>14</v>
      </c>
      <c r="I142">
        <v>1</v>
      </c>
      <c r="J142">
        <v>17890.259999999998</v>
      </c>
      <c r="K142" s="1" t="s">
        <v>20</v>
      </c>
      <c r="L142" s="1">
        <f>customer_project_data_500_rows[[#This Row],[Quantity]]*customer_project_data_500_rows[[#This Row],[Price]]</f>
        <v>17890.259999999998</v>
      </c>
    </row>
    <row r="143" spans="1:12" x14ac:dyDescent="0.3">
      <c r="A143">
        <v>1142</v>
      </c>
      <c r="B143" s="1" t="s">
        <v>172</v>
      </c>
      <c r="C143" s="1" t="s">
        <v>42</v>
      </c>
      <c r="D143">
        <v>62</v>
      </c>
      <c r="E143" s="1" t="s">
        <v>32</v>
      </c>
      <c r="F143" s="2">
        <v>44980</v>
      </c>
      <c r="G143" s="1" t="s">
        <v>34</v>
      </c>
      <c r="H143" s="1" t="s">
        <v>14</v>
      </c>
      <c r="I143">
        <v>3</v>
      </c>
      <c r="J143">
        <v>16457.150000000001</v>
      </c>
      <c r="K143" s="1" t="s">
        <v>26</v>
      </c>
      <c r="L143" s="1">
        <f>customer_project_data_500_rows[[#This Row],[Quantity]]*customer_project_data_500_rows[[#This Row],[Price]]</f>
        <v>49371.450000000004</v>
      </c>
    </row>
    <row r="144" spans="1:12" x14ac:dyDescent="0.3">
      <c r="A144">
        <v>1143</v>
      </c>
      <c r="B144" s="1" t="s">
        <v>173</v>
      </c>
      <c r="C144" s="1" t="s">
        <v>42</v>
      </c>
      <c r="D144">
        <v>34</v>
      </c>
      <c r="E144" s="1" t="s">
        <v>29</v>
      </c>
      <c r="F144" s="2">
        <v>45137</v>
      </c>
      <c r="G144" s="1" t="s">
        <v>30</v>
      </c>
      <c r="H144" s="1" t="s">
        <v>14</v>
      </c>
      <c r="I144">
        <v>2</v>
      </c>
      <c r="J144">
        <v>30705.15</v>
      </c>
      <c r="K144" s="1" t="s">
        <v>26</v>
      </c>
      <c r="L144" s="1">
        <f>customer_project_data_500_rows[[#This Row],[Quantity]]*customer_project_data_500_rows[[#This Row],[Price]]</f>
        <v>61410.3</v>
      </c>
    </row>
    <row r="145" spans="1:12" x14ac:dyDescent="0.3">
      <c r="A145">
        <v>1144</v>
      </c>
      <c r="B145" s="1" t="s">
        <v>174</v>
      </c>
      <c r="C145" s="1" t="s">
        <v>42</v>
      </c>
      <c r="D145">
        <v>35</v>
      </c>
      <c r="E145" s="1" t="s">
        <v>32</v>
      </c>
      <c r="F145" s="2">
        <v>44938</v>
      </c>
      <c r="G145" s="1" t="s">
        <v>25</v>
      </c>
      <c r="H145" s="1" t="s">
        <v>19</v>
      </c>
      <c r="I145">
        <v>1</v>
      </c>
      <c r="J145">
        <v>8436</v>
      </c>
      <c r="K145" s="1" t="s">
        <v>15</v>
      </c>
      <c r="L145" s="1">
        <f>customer_project_data_500_rows[[#This Row],[Quantity]]*customer_project_data_500_rows[[#This Row],[Price]]</f>
        <v>8436</v>
      </c>
    </row>
    <row r="146" spans="1:12" x14ac:dyDescent="0.3">
      <c r="A146">
        <v>1145</v>
      </c>
      <c r="B146" s="1" t="s">
        <v>175</v>
      </c>
      <c r="C146" s="1" t="s">
        <v>42</v>
      </c>
      <c r="D146">
        <v>61</v>
      </c>
      <c r="E146" s="1" t="s">
        <v>29</v>
      </c>
      <c r="F146" s="2">
        <v>45394</v>
      </c>
      <c r="G146" s="1" t="s">
        <v>30</v>
      </c>
      <c r="H146" s="1" t="s">
        <v>14</v>
      </c>
      <c r="I146">
        <v>4</v>
      </c>
      <c r="J146">
        <v>24593.58</v>
      </c>
      <c r="K146" s="1" t="s">
        <v>20</v>
      </c>
      <c r="L146" s="1">
        <f>customer_project_data_500_rows[[#This Row],[Quantity]]*customer_project_data_500_rows[[#This Row],[Price]]</f>
        <v>98374.32</v>
      </c>
    </row>
    <row r="147" spans="1:12" x14ac:dyDescent="0.3">
      <c r="A147">
        <v>1146</v>
      </c>
      <c r="B147" s="1" t="s">
        <v>176</v>
      </c>
      <c r="C147" s="1" t="s">
        <v>532</v>
      </c>
      <c r="D147">
        <v>42</v>
      </c>
      <c r="E147" s="1" t="s">
        <v>36</v>
      </c>
      <c r="F147" s="2">
        <v>45314</v>
      </c>
      <c r="G147" s="1" t="s">
        <v>30</v>
      </c>
      <c r="H147" s="1" t="s">
        <v>23</v>
      </c>
      <c r="I147">
        <v>3</v>
      </c>
      <c r="J147">
        <v>47308.9</v>
      </c>
      <c r="K147" s="1" t="s">
        <v>15</v>
      </c>
      <c r="L147" s="1">
        <f>customer_project_data_500_rows[[#This Row],[Quantity]]*customer_project_data_500_rows[[#This Row],[Price]]</f>
        <v>141926.70000000001</v>
      </c>
    </row>
    <row r="148" spans="1:12" x14ac:dyDescent="0.3">
      <c r="A148">
        <v>1147</v>
      </c>
      <c r="B148" s="1" t="s">
        <v>177</v>
      </c>
      <c r="C148" s="1" t="s">
        <v>42</v>
      </c>
      <c r="D148">
        <v>56</v>
      </c>
      <c r="E148" s="1" t="s">
        <v>29</v>
      </c>
      <c r="F148" s="2">
        <v>45266</v>
      </c>
      <c r="G148" s="1" t="s">
        <v>30</v>
      </c>
      <c r="H148" s="1" t="s">
        <v>23</v>
      </c>
      <c r="I148">
        <v>3</v>
      </c>
      <c r="J148">
        <v>19503.75</v>
      </c>
      <c r="K148" s="1" t="s">
        <v>37</v>
      </c>
      <c r="L148" s="1">
        <f>customer_project_data_500_rows[[#This Row],[Quantity]]*customer_project_data_500_rows[[#This Row],[Price]]</f>
        <v>58511.25</v>
      </c>
    </row>
    <row r="149" spans="1:12" x14ac:dyDescent="0.3">
      <c r="A149">
        <v>1148</v>
      </c>
      <c r="B149" s="1" t="s">
        <v>178</v>
      </c>
      <c r="C149" s="1" t="s">
        <v>531</v>
      </c>
      <c r="D149">
        <v>18</v>
      </c>
      <c r="E149" s="1" t="s">
        <v>12</v>
      </c>
      <c r="F149" s="2">
        <v>44927</v>
      </c>
      <c r="G149" s="1" t="s">
        <v>13</v>
      </c>
      <c r="H149" s="1" t="s">
        <v>19</v>
      </c>
      <c r="I149">
        <v>2</v>
      </c>
      <c r="J149">
        <v>9853.65</v>
      </c>
      <c r="K149" s="1" t="s">
        <v>15</v>
      </c>
      <c r="L149" s="1">
        <f>customer_project_data_500_rows[[#This Row],[Quantity]]*customer_project_data_500_rows[[#This Row],[Price]]</f>
        <v>19707.3</v>
      </c>
    </row>
    <row r="150" spans="1:12" x14ac:dyDescent="0.3">
      <c r="A150">
        <v>1149</v>
      </c>
      <c r="B150" s="1" t="s">
        <v>179</v>
      </c>
      <c r="C150" s="1" t="s">
        <v>531</v>
      </c>
      <c r="D150">
        <v>51</v>
      </c>
      <c r="E150" s="1" t="s">
        <v>12</v>
      </c>
      <c r="F150" s="2">
        <v>45362</v>
      </c>
      <c r="G150" s="1" t="s">
        <v>34</v>
      </c>
      <c r="H150" s="1" t="s">
        <v>19</v>
      </c>
      <c r="I150">
        <v>5</v>
      </c>
      <c r="J150">
        <v>23707.53</v>
      </c>
      <c r="K150" s="1" t="s">
        <v>15</v>
      </c>
      <c r="L150" s="1">
        <f>customer_project_data_500_rows[[#This Row],[Quantity]]*customer_project_data_500_rows[[#This Row],[Price]]</f>
        <v>118537.65</v>
      </c>
    </row>
    <row r="151" spans="1:12" x14ac:dyDescent="0.3">
      <c r="A151">
        <v>1150</v>
      </c>
      <c r="B151" s="1" t="s">
        <v>180</v>
      </c>
      <c r="C151" s="1" t="s">
        <v>42</v>
      </c>
      <c r="D151">
        <v>36</v>
      </c>
      <c r="E151" s="1" t="s">
        <v>32</v>
      </c>
      <c r="F151" s="2">
        <v>45018</v>
      </c>
      <c r="G151" s="1" t="s">
        <v>34</v>
      </c>
      <c r="H151" s="1" t="s">
        <v>19</v>
      </c>
      <c r="I151">
        <v>1</v>
      </c>
      <c r="J151">
        <v>42124.94</v>
      </c>
      <c r="K151" s="1" t="s">
        <v>20</v>
      </c>
      <c r="L151" s="1">
        <f>customer_project_data_500_rows[[#This Row],[Quantity]]*customer_project_data_500_rows[[#This Row],[Price]]</f>
        <v>42124.94</v>
      </c>
    </row>
    <row r="152" spans="1:12" x14ac:dyDescent="0.3">
      <c r="A152">
        <v>1151</v>
      </c>
      <c r="B152" s="1" t="s">
        <v>181</v>
      </c>
      <c r="C152" s="1" t="s">
        <v>532</v>
      </c>
      <c r="D152">
        <v>25</v>
      </c>
      <c r="E152" s="1" t="s">
        <v>12</v>
      </c>
      <c r="F152" s="2">
        <v>45424</v>
      </c>
      <c r="G152" s="1" t="s">
        <v>25</v>
      </c>
      <c r="H152" s="1" t="s">
        <v>19</v>
      </c>
      <c r="I152">
        <v>5</v>
      </c>
      <c r="J152">
        <v>42212.05</v>
      </c>
      <c r="K152" s="1" t="s">
        <v>37</v>
      </c>
      <c r="L152" s="1">
        <f>customer_project_data_500_rows[[#This Row],[Quantity]]*customer_project_data_500_rows[[#This Row],[Price]]</f>
        <v>211060.25</v>
      </c>
    </row>
    <row r="153" spans="1:12" x14ac:dyDescent="0.3">
      <c r="A153">
        <v>1152</v>
      </c>
      <c r="B153" s="1" t="s">
        <v>182</v>
      </c>
      <c r="C153" s="1" t="s">
        <v>42</v>
      </c>
      <c r="D153">
        <v>32</v>
      </c>
      <c r="E153" s="1" t="s">
        <v>12</v>
      </c>
      <c r="F153" s="2">
        <v>45181</v>
      </c>
      <c r="G153" s="1" t="s">
        <v>13</v>
      </c>
      <c r="H153" s="1" t="s">
        <v>19</v>
      </c>
      <c r="I153">
        <v>2</v>
      </c>
      <c r="J153">
        <v>41476.26</v>
      </c>
      <c r="K153" s="1" t="s">
        <v>15</v>
      </c>
      <c r="L153" s="1">
        <f>customer_project_data_500_rows[[#This Row],[Quantity]]*customer_project_data_500_rows[[#This Row],[Price]]</f>
        <v>82952.52</v>
      </c>
    </row>
    <row r="154" spans="1:12" x14ac:dyDescent="0.3">
      <c r="A154">
        <v>1153</v>
      </c>
      <c r="B154" s="1" t="s">
        <v>183</v>
      </c>
      <c r="C154" s="1" t="s">
        <v>532</v>
      </c>
      <c r="D154">
        <v>54</v>
      </c>
      <c r="E154" s="1" t="s">
        <v>17</v>
      </c>
      <c r="F154" s="2">
        <v>45397</v>
      </c>
      <c r="G154" s="1" t="s">
        <v>30</v>
      </c>
      <c r="H154" s="1" t="s">
        <v>19</v>
      </c>
      <c r="I154">
        <v>5</v>
      </c>
      <c r="J154">
        <v>1068.04</v>
      </c>
      <c r="K154" s="1" t="s">
        <v>39</v>
      </c>
      <c r="L154" s="1">
        <f>customer_project_data_500_rows[[#This Row],[Quantity]]*customer_project_data_500_rows[[#This Row],[Price]]</f>
        <v>5340.2</v>
      </c>
    </row>
    <row r="155" spans="1:12" x14ac:dyDescent="0.3">
      <c r="A155">
        <v>1154</v>
      </c>
      <c r="B155" s="1" t="s">
        <v>184</v>
      </c>
      <c r="C155" s="1" t="s">
        <v>42</v>
      </c>
      <c r="D155">
        <v>44</v>
      </c>
      <c r="E155" s="1" t="s">
        <v>29</v>
      </c>
      <c r="F155" s="2">
        <v>45011</v>
      </c>
      <c r="G155" s="1" t="s">
        <v>30</v>
      </c>
      <c r="H155" s="1" t="s">
        <v>23</v>
      </c>
      <c r="I155">
        <v>5</v>
      </c>
      <c r="J155">
        <v>13718.5</v>
      </c>
      <c r="K155" s="1" t="s">
        <v>37</v>
      </c>
      <c r="L155" s="1">
        <f>customer_project_data_500_rows[[#This Row],[Quantity]]*customer_project_data_500_rows[[#This Row],[Price]]</f>
        <v>68592.5</v>
      </c>
    </row>
    <row r="156" spans="1:12" x14ac:dyDescent="0.3">
      <c r="A156">
        <v>1155</v>
      </c>
      <c r="B156" s="1" t="s">
        <v>185</v>
      </c>
      <c r="C156" s="1" t="s">
        <v>531</v>
      </c>
      <c r="D156">
        <v>50</v>
      </c>
      <c r="E156" s="1" t="s">
        <v>12</v>
      </c>
      <c r="F156" s="2">
        <v>45392</v>
      </c>
      <c r="G156" s="1" t="s">
        <v>34</v>
      </c>
      <c r="H156" s="1" t="s">
        <v>23</v>
      </c>
      <c r="I156">
        <v>3</v>
      </c>
      <c r="J156">
        <v>49993.85</v>
      </c>
      <c r="K156" s="1" t="s">
        <v>39</v>
      </c>
      <c r="L156" s="1">
        <f>customer_project_data_500_rows[[#This Row],[Quantity]]*customer_project_data_500_rows[[#This Row],[Price]]</f>
        <v>149981.54999999999</v>
      </c>
    </row>
    <row r="157" spans="1:12" x14ac:dyDescent="0.3">
      <c r="A157">
        <v>1156</v>
      </c>
      <c r="B157" s="1" t="s">
        <v>186</v>
      </c>
      <c r="C157" s="1" t="s">
        <v>531</v>
      </c>
      <c r="D157">
        <v>19</v>
      </c>
      <c r="E157" s="1" t="s">
        <v>32</v>
      </c>
      <c r="F157" s="2">
        <v>45305</v>
      </c>
      <c r="G157" s="1" t="s">
        <v>25</v>
      </c>
      <c r="H157" s="1" t="s">
        <v>19</v>
      </c>
      <c r="I157">
        <v>4</v>
      </c>
      <c r="J157">
        <v>6424.32</v>
      </c>
      <c r="K157" s="1" t="s">
        <v>15</v>
      </c>
      <c r="L157" s="1">
        <f>customer_project_data_500_rows[[#This Row],[Quantity]]*customer_project_data_500_rows[[#This Row],[Price]]</f>
        <v>25697.279999999999</v>
      </c>
    </row>
    <row r="158" spans="1:12" x14ac:dyDescent="0.3">
      <c r="A158">
        <v>1157</v>
      </c>
      <c r="B158" s="1" t="s">
        <v>187</v>
      </c>
      <c r="C158" s="1" t="s">
        <v>531</v>
      </c>
      <c r="D158">
        <v>42</v>
      </c>
      <c r="E158" s="1" t="s">
        <v>12</v>
      </c>
      <c r="F158" s="2">
        <v>45060</v>
      </c>
      <c r="G158" s="1" t="s">
        <v>34</v>
      </c>
      <c r="H158" s="1" t="s">
        <v>19</v>
      </c>
      <c r="I158">
        <v>1</v>
      </c>
      <c r="J158">
        <v>24759.43</v>
      </c>
      <c r="K158" s="1" t="s">
        <v>37</v>
      </c>
      <c r="L158" s="1">
        <f>customer_project_data_500_rows[[#This Row],[Quantity]]*customer_project_data_500_rows[[#This Row],[Price]]</f>
        <v>24759.43</v>
      </c>
    </row>
    <row r="159" spans="1:12" x14ac:dyDescent="0.3">
      <c r="A159">
        <v>1158</v>
      </c>
      <c r="B159" s="1" t="s">
        <v>188</v>
      </c>
      <c r="C159" s="1" t="s">
        <v>42</v>
      </c>
      <c r="D159">
        <v>40</v>
      </c>
      <c r="E159" s="1" t="s">
        <v>36</v>
      </c>
      <c r="F159" s="2">
        <v>45066</v>
      </c>
      <c r="G159" s="1" t="s">
        <v>22</v>
      </c>
      <c r="H159" s="1" t="s">
        <v>14</v>
      </c>
      <c r="I159">
        <v>3</v>
      </c>
      <c r="J159">
        <v>39606.29</v>
      </c>
      <c r="K159" s="1" t="s">
        <v>20</v>
      </c>
      <c r="L159" s="1">
        <f>customer_project_data_500_rows[[#This Row],[Quantity]]*customer_project_data_500_rows[[#This Row],[Price]]</f>
        <v>118818.87</v>
      </c>
    </row>
    <row r="160" spans="1:12" x14ac:dyDescent="0.3">
      <c r="A160">
        <v>1159</v>
      </c>
      <c r="B160" s="1" t="s">
        <v>189</v>
      </c>
      <c r="C160" s="1" t="s">
        <v>531</v>
      </c>
      <c r="D160">
        <v>52</v>
      </c>
      <c r="E160" s="1" t="s">
        <v>17</v>
      </c>
      <c r="F160" s="2">
        <v>44996</v>
      </c>
      <c r="G160" s="1" t="s">
        <v>30</v>
      </c>
      <c r="H160" s="1" t="s">
        <v>19</v>
      </c>
      <c r="I160">
        <v>1</v>
      </c>
      <c r="J160">
        <v>6549.59</v>
      </c>
      <c r="K160" s="1" t="s">
        <v>39</v>
      </c>
      <c r="L160" s="1">
        <f>customer_project_data_500_rows[[#This Row],[Quantity]]*customer_project_data_500_rows[[#This Row],[Price]]</f>
        <v>6549.59</v>
      </c>
    </row>
    <row r="161" spans="1:12" x14ac:dyDescent="0.3">
      <c r="A161">
        <v>1160</v>
      </c>
      <c r="B161" s="1" t="s">
        <v>190</v>
      </c>
      <c r="C161" s="1" t="s">
        <v>531</v>
      </c>
      <c r="D161">
        <v>48</v>
      </c>
      <c r="E161" s="1" t="s">
        <v>12</v>
      </c>
      <c r="F161" s="2">
        <v>45192</v>
      </c>
      <c r="G161" s="1" t="s">
        <v>22</v>
      </c>
      <c r="H161" s="1" t="s">
        <v>23</v>
      </c>
      <c r="I161">
        <v>4</v>
      </c>
      <c r="J161">
        <v>33289.25</v>
      </c>
      <c r="K161" s="1" t="s">
        <v>15</v>
      </c>
      <c r="L161" s="1">
        <f>customer_project_data_500_rows[[#This Row],[Quantity]]*customer_project_data_500_rows[[#This Row],[Price]]</f>
        <v>133157</v>
      </c>
    </row>
    <row r="162" spans="1:12" x14ac:dyDescent="0.3">
      <c r="A162">
        <v>1161</v>
      </c>
      <c r="B162" s="1" t="s">
        <v>191</v>
      </c>
      <c r="C162" s="1" t="s">
        <v>532</v>
      </c>
      <c r="D162">
        <v>39</v>
      </c>
      <c r="E162" s="1" t="s">
        <v>32</v>
      </c>
      <c r="F162" s="2">
        <v>45613</v>
      </c>
      <c r="G162" s="1" t="s">
        <v>18</v>
      </c>
      <c r="H162" s="1" t="s">
        <v>23</v>
      </c>
      <c r="I162">
        <v>3</v>
      </c>
      <c r="J162">
        <v>24659.98</v>
      </c>
      <c r="K162" s="1" t="s">
        <v>39</v>
      </c>
      <c r="L162" s="1">
        <f>customer_project_data_500_rows[[#This Row],[Quantity]]*customer_project_data_500_rows[[#This Row],[Price]]</f>
        <v>73979.94</v>
      </c>
    </row>
    <row r="163" spans="1:12" x14ac:dyDescent="0.3">
      <c r="A163">
        <v>1162</v>
      </c>
      <c r="B163" s="1" t="s">
        <v>192</v>
      </c>
      <c r="C163" s="1" t="s">
        <v>42</v>
      </c>
      <c r="D163">
        <v>22</v>
      </c>
      <c r="E163" s="1" t="s">
        <v>12</v>
      </c>
      <c r="F163" s="2">
        <v>45257</v>
      </c>
      <c r="G163" s="1" t="s">
        <v>30</v>
      </c>
      <c r="H163" s="1" t="s">
        <v>23</v>
      </c>
      <c r="I163">
        <v>2</v>
      </c>
      <c r="J163">
        <v>10117.35</v>
      </c>
      <c r="K163" s="1" t="s">
        <v>20</v>
      </c>
      <c r="L163" s="1">
        <f>customer_project_data_500_rows[[#This Row],[Quantity]]*customer_project_data_500_rows[[#This Row],[Price]]</f>
        <v>20234.7</v>
      </c>
    </row>
    <row r="164" spans="1:12" x14ac:dyDescent="0.3">
      <c r="A164">
        <v>1163</v>
      </c>
      <c r="B164" s="1" t="s">
        <v>193</v>
      </c>
      <c r="C164" s="1" t="s">
        <v>532</v>
      </c>
      <c r="D164">
        <v>21</v>
      </c>
      <c r="E164" s="1" t="s">
        <v>36</v>
      </c>
      <c r="F164" s="2">
        <v>45148</v>
      </c>
      <c r="G164" s="1" t="s">
        <v>13</v>
      </c>
      <c r="H164" s="1" t="s">
        <v>23</v>
      </c>
      <c r="I164">
        <v>3</v>
      </c>
      <c r="J164">
        <v>43992.19</v>
      </c>
      <c r="K164" s="1" t="s">
        <v>37</v>
      </c>
      <c r="L164" s="1">
        <f>customer_project_data_500_rows[[#This Row],[Quantity]]*customer_project_data_500_rows[[#This Row],[Price]]</f>
        <v>131976.57</v>
      </c>
    </row>
    <row r="165" spans="1:12" x14ac:dyDescent="0.3">
      <c r="A165">
        <v>1164</v>
      </c>
      <c r="B165" s="1" t="s">
        <v>194</v>
      </c>
      <c r="C165" s="1" t="s">
        <v>531</v>
      </c>
      <c r="D165">
        <v>36</v>
      </c>
      <c r="E165" s="1" t="s">
        <v>32</v>
      </c>
      <c r="F165" s="2">
        <v>45087</v>
      </c>
      <c r="G165" s="1" t="s">
        <v>30</v>
      </c>
      <c r="H165" s="1" t="s">
        <v>19</v>
      </c>
      <c r="I165">
        <v>5</v>
      </c>
      <c r="J165">
        <v>9483.6299999999992</v>
      </c>
      <c r="K165" s="1" t="s">
        <v>37</v>
      </c>
      <c r="L165" s="1">
        <f>customer_project_data_500_rows[[#This Row],[Quantity]]*customer_project_data_500_rows[[#This Row],[Price]]</f>
        <v>47418.149999999994</v>
      </c>
    </row>
    <row r="166" spans="1:12" x14ac:dyDescent="0.3">
      <c r="A166">
        <v>1165</v>
      </c>
      <c r="B166" s="1" t="s">
        <v>195</v>
      </c>
      <c r="C166" s="1" t="s">
        <v>532</v>
      </c>
      <c r="D166">
        <v>51</v>
      </c>
      <c r="E166" s="1" t="s">
        <v>17</v>
      </c>
      <c r="F166" s="2">
        <v>45349</v>
      </c>
      <c r="G166" s="1" t="s">
        <v>34</v>
      </c>
      <c r="H166" s="1" t="s">
        <v>14</v>
      </c>
      <c r="I166">
        <v>1</v>
      </c>
      <c r="J166">
        <v>32133.119999999999</v>
      </c>
      <c r="K166" s="1" t="s">
        <v>15</v>
      </c>
      <c r="L166" s="1">
        <f>customer_project_data_500_rows[[#This Row],[Quantity]]*customer_project_data_500_rows[[#This Row],[Price]]</f>
        <v>32133.119999999999</v>
      </c>
    </row>
    <row r="167" spans="1:12" x14ac:dyDescent="0.3">
      <c r="A167">
        <v>1166</v>
      </c>
      <c r="B167" s="1" t="s">
        <v>196</v>
      </c>
      <c r="C167" s="1" t="s">
        <v>531</v>
      </c>
      <c r="D167">
        <v>29</v>
      </c>
      <c r="E167" s="1" t="s">
        <v>12</v>
      </c>
      <c r="F167" s="2">
        <v>45481</v>
      </c>
      <c r="G167" s="1" t="s">
        <v>18</v>
      </c>
      <c r="H167" s="1" t="s">
        <v>19</v>
      </c>
      <c r="I167">
        <v>4</v>
      </c>
      <c r="J167">
        <v>37170.93</v>
      </c>
      <c r="K167" s="1" t="s">
        <v>26</v>
      </c>
      <c r="L167" s="1">
        <f>customer_project_data_500_rows[[#This Row],[Quantity]]*customer_project_data_500_rows[[#This Row],[Price]]</f>
        <v>148683.72</v>
      </c>
    </row>
    <row r="168" spans="1:12" x14ac:dyDescent="0.3">
      <c r="A168">
        <v>1167</v>
      </c>
      <c r="B168" s="1" t="s">
        <v>197</v>
      </c>
      <c r="C168" s="1" t="s">
        <v>531</v>
      </c>
      <c r="D168">
        <v>29</v>
      </c>
      <c r="E168" s="1" t="s">
        <v>29</v>
      </c>
      <c r="F168" s="2">
        <v>45078</v>
      </c>
      <c r="G168" s="1" t="s">
        <v>25</v>
      </c>
      <c r="H168" s="1" t="s">
        <v>14</v>
      </c>
      <c r="I168">
        <v>1</v>
      </c>
      <c r="J168">
        <v>28352.31</v>
      </c>
      <c r="K168" s="1" t="s">
        <v>20</v>
      </c>
      <c r="L168" s="1">
        <f>customer_project_data_500_rows[[#This Row],[Quantity]]*customer_project_data_500_rows[[#This Row],[Price]]</f>
        <v>28352.31</v>
      </c>
    </row>
    <row r="169" spans="1:12" x14ac:dyDescent="0.3">
      <c r="A169">
        <v>1168</v>
      </c>
      <c r="B169" s="1" t="s">
        <v>198</v>
      </c>
      <c r="C169" s="1" t="s">
        <v>532</v>
      </c>
      <c r="D169">
        <v>30</v>
      </c>
      <c r="E169" s="1" t="s">
        <v>36</v>
      </c>
      <c r="F169" s="2">
        <v>45351</v>
      </c>
      <c r="G169" s="1" t="s">
        <v>30</v>
      </c>
      <c r="H169" s="1" t="s">
        <v>14</v>
      </c>
      <c r="I169">
        <v>2</v>
      </c>
      <c r="J169">
        <v>31627.66</v>
      </c>
      <c r="K169" s="1" t="s">
        <v>15</v>
      </c>
      <c r="L169" s="1">
        <f>customer_project_data_500_rows[[#This Row],[Quantity]]*customer_project_data_500_rows[[#This Row],[Price]]</f>
        <v>63255.32</v>
      </c>
    </row>
    <row r="170" spans="1:12" x14ac:dyDescent="0.3">
      <c r="A170">
        <v>1169</v>
      </c>
      <c r="B170" s="1" t="s">
        <v>199</v>
      </c>
      <c r="C170" s="1" t="s">
        <v>531</v>
      </c>
      <c r="D170">
        <v>22</v>
      </c>
      <c r="E170" s="1" t="s">
        <v>12</v>
      </c>
      <c r="F170" s="2">
        <v>45502</v>
      </c>
      <c r="G170" s="1" t="s">
        <v>25</v>
      </c>
      <c r="H170" s="1" t="s">
        <v>23</v>
      </c>
      <c r="I170">
        <v>2</v>
      </c>
      <c r="J170">
        <v>6388.79</v>
      </c>
      <c r="K170" s="1" t="s">
        <v>37</v>
      </c>
      <c r="L170" s="1">
        <f>customer_project_data_500_rows[[#This Row],[Quantity]]*customer_project_data_500_rows[[#This Row],[Price]]</f>
        <v>12777.58</v>
      </c>
    </row>
    <row r="171" spans="1:12" x14ac:dyDescent="0.3">
      <c r="A171">
        <v>1170</v>
      </c>
      <c r="B171" s="1" t="s">
        <v>200</v>
      </c>
      <c r="C171" s="1" t="s">
        <v>531</v>
      </c>
      <c r="D171">
        <v>63</v>
      </c>
      <c r="E171" s="1" t="s">
        <v>17</v>
      </c>
      <c r="F171" s="2">
        <v>45502</v>
      </c>
      <c r="G171" s="1" t="s">
        <v>30</v>
      </c>
      <c r="H171" s="1" t="s">
        <v>14</v>
      </c>
      <c r="I171">
        <v>3</v>
      </c>
      <c r="J171">
        <v>15747.83</v>
      </c>
      <c r="K171" s="1" t="s">
        <v>37</v>
      </c>
      <c r="L171" s="1">
        <f>customer_project_data_500_rows[[#This Row],[Quantity]]*customer_project_data_500_rows[[#This Row],[Price]]</f>
        <v>47243.49</v>
      </c>
    </row>
    <row r="172" spans="1:12" x14ac:dyDescent="0.3">
      <c r="A172">
        <v>1171</v>
      </c>
      <c r="B172" s="1" t="s">
        <v>201</v>
      </c>
      <c r="C172" s="1" t="s">
        <v>531</v>
      </c>
      <c r="D172">
        <v>18</v>
      </c>
      <c r="E172" s="1" t="s">
        <v>29</v>
      </c>
      <c r="F172" s="2">
        <v>45086</v>
      </c>
      <c r="G172" s="1" t="s">
        <v>30</v>
      </c>
      <c r="H172" s="1" t="s">
        <v>19</v>
      </c>
      <c r="I172">
        <v>2</v>
      </c>
      <c r="J172">
        <v>29554.63</v>
      </c>
      <c r="K172" s="1" t="s">
        <v>37</v>
      </c>
      <c r="L172" s="1">
        <f>customer_project_data_500_rows[[#This Row],[Quantity]]*customer_project_data_500_rows[[#This Row],[Price]]</f>
        <v>59109.26</v>
      </c>
    </row>
    <row r="173" spans="1:12" x14ac:dyDescent="0.3">
      <c r="A173">
        <v>1172</v>
      </c>
      <c r="B173" s="1" t="s">
        <v>202</v>
      </c>
      <c r="C173" s="1" t="s">
        <v>42</v>
      </c>
      <c r="D173">
        <v>43</v>
      </c>
      <c r="E173" s="1" t="s">
        <v>29</v>
      </c>
      <c r="F173" s="2">
        <v>45201</v>
      </c>
      <c r="G173" s="1" t="s">
        <v>30</v>
      </c>
      <c r="H173" s="1" t="s">
        <v>19</v>
      </c>
      <c r="I173">
        <v>2</v>
      </c>
      <c r="J173">
        <v>20075.45</v>
      </c>
      <c r="K173" s="1" t="s">
        <v>39</v>
      </c>
      <c r="L173" s="1">
        <f>customer_project_data_500_rows[[#This Row],[Quantity]]*customer_project_data_500_rows[[#This Row],[Price]]</f>
        <v>40150.9</v>
      </c>
    </row>
    <row r="174" spans="1:12" x14ac:dyDescent="0.3">
      <c r="A174">
        <v>1173</v>
      </c>
      <c r="B174" s="1" t="s">
        <v>203</v>
      </c>
      <c r="C174" s="1" t="s">
        <v>531</v>
      </c>
      <c r="D174">
        <v>58</v>
      </c>
      <c r="E174" s="1" t="s">
        <v>29</v>
      </c>
      <c r="F174" s="2">
        <v>45095</v>
      </c>
      <c r="G174" s="1" t="s">
        <v>25</v>
      </c>
      <c r="H174" s="1" t="s">
        <v>23</v>
      </c>
      <c r="I174">
        <v>3</v>
      </c>
      <c r="J174">
        <v>33365.33</v>
      </c>
      <c r="K174" s="1" t="s">
        <v>39</v>
      </c>
      <c r="L174" s="1">
        <f>customer_project_data_500_rows[[#This Row],[Quantity]]*customer_project_data_500_rows[[#This Row],[Price]]</f>
        <v>100095.99</v>
      </c>
    </row>
    <row r="175" spans="1:12" x14ac:dyDescent="0.3">
      <c r="A175">
        <v>1174</v>
      </c>
      <c r="B175" s="1" t="s">
        <v>204</v>
      </c>
      <c r="C175" s="1" t="s">
        <v>532</v>
      </c>
      <c r="D175">
        <v>25</v>
      </c>
      <c r="E175" s="1" t="s">
        <v>32</v>
      </c>
      <c r="F175" s="2">
        <v>45188</v>
      </c>
      <c r="G175" s="1" t="s">
        <v>22</v>
      </c>
      <c r="H175" s="1" t="s">
        <v>23</v>
      </c>
      <c r="I175">
        <v>1</v>
      </c>
      <c r="J175">
        <v>42671.75</v>
      </c>
      <c r="K175" s="1" t="s">
        <v>26</v>
      </c>
      <c r="L175" s="1">
        <f>customer_project_data_500_rows[[#This Row],[Quantity]]*customer_project_data_500_rows[[#This Row],[Price]]</f>
        <v>42671.75</v>
      </c>
    </row>
    <row r="176" spans="1:12" x14ac:dyDescent="0.3">
      <c r="A176">
        <v>1175</v>
      </c>
      <c r="B176" s="1" t="s">
        <v>205</v>
      </c>
      <c r="C176" s="1" t="s">
        <v>532</v>
      </c>
      <c r="D176">
        <v>25</v>
      </c>
      <c r="E176" s="1" t="s">
        <v>32</v>
      </c>
      <c r="F176" s="2">
        <v>45039</v>
      </c>
      <c r="G176" s="1" t="s">
        <v>34</v>
      </c>
      <c r="H176" s="1" t="s">
        <v>19</v>
      </c>
      <c r="I176">
        <v>4</v>
      </c>
      <c r="J176">
        <v>9915.99</v>
      </c>
      <c r="K176" s="1" t="s">
        <v>37</v>
      </c>
      <c r="L176" s="1">
        <f>customer_project_data_500_rows[[#This Row],[Quantity]]*customer_project_data_500_rows[[#This Row],[Price]]</f>
        <v>39663.96</v>
      </c>
    </row>
    <row r="177" spans="1:12" x14ac:dyDescent="0.3">
      <c r="A177">
        <v>1176</v>
      </c>
      <c r="B177" s="1" t="s">
        <v>206</v>
      </c>
      <c r="C177" s="1" t="s">
        <v>42</v>
      </c>
      <c r="D177">
        <v>51</v>
      </c>
      <c r="E177" s="1" t="s">
        <v>12</v>
      </c>
      <c r="F177" s="2">
        <v>45403</v>
      </c>
      <c r="G177" s="1" t="s">
        <v>13</v>
      </c>
      <c r="H177" s="1" t="s">
        <v>19</v>
      </c>
      <c r="I177">
        <v>5</v>
      </c>
      <c r="J177">
        <v>45212</v>
      </c>
      <c r="K177" s="1" t="s">
        <v>39</v>
      </c>
      <c r="L177" s="1">
        <f>customer_project_data_500_rows[[#This Row],[Quantity]]*customer_project_data_500_rows[[#This Row],[Price]]</f>
        <v>226060</v>
      </c>
    </row>
    <row r="178" spans="1:12" x14ac:dyDescent="0.3">
      <c r="A178">
        <v>1177</v>
      </c>
      <c r="B178" s="1" t="s">
        <v>207</v>
      </c>
      <c r="C178" s="1" t="s">
        <v>531</v>
      </c>
      <c r="D178">
        <v>25</v>
      </c>
      <c r="E178" s="1" t="s">
        <v>29</v>
      </c>
      <c r="F178" s="2">
        <v>45390</v>
      </c>
      <c r="G178" s="1" t="s">
        <v>22</v>
      </c>
      <c r="H178" s="1" t="s">
        <v>14</v>
      </c>
      <c r="I178">
        <v>1</v>
      </c>
      <c r="J178">
        <v>19467.2</v>
      </c>
      <c r="K178" s="1" t="s">
        <v>15</v>
      </c>
      <c r="L178" s="1">
        <f>customer_project_data_500_rows[[#This Row],[Quantity]]*customer_project_data_500_rows[[#This Row],[Price]]</f>
        <v>19467.2</v>
      </c>
    </row>
    <row r="179" spans="1:12" x14ac:dyDescent="0.3">
      <c r="A179">
        <v>1178</v>
      </c>
      <c r="B179" s="1" t="s">
        <v>208</v>
      </c>
      <c r="C179" s="1" t="s">
        <v>532</v>
      </c>
      <c r="D179">
        <v>52</v>
      </c>
      <c r="E179" s="1" t="s">
        <v>12</v>
      </c>
      <c r="F179" s="2">
        <v>45031</v>
      </c>
      <c r="G179" s="1" t="s">
        <v>34</v>
      </c>
      <c r="H179" s="1" t="s">
        <v>23</v>
      </c>
      <c r="I179">
        <v>2</v>
      </c>
      <c r="J179">
        <v>47184.65</v>
      </c>
      <c r="K179" s="1" t="s">
        <v>26</v>
      </c>
      <c r="L179" s="1">
        <f>customer_project_data_500_rows[[#This Row],[Quantity]]*customer_project_data_500_rows[[#This Row],[Price]]</f>
        <v>94369.3</v>
      </c>
    </row>
    <row r="180" spans="1:12" x14ac:dyDescent="0.3">
      <c r="A180">
        <v>1179</v>
      </c>
      <c r="B180" s="1" t="s">
        <v>209</v>
      </c>
      <c r="C180" s="1" t="s">
        <v>532</v>
      </c>
      <c r="D180">
        <v>22</v>
      </c>
      <c r="E180" s="1" t="s">
        <v>17</v>
      </c>
      <c r="F180" s="2">
        <v>45417</v>
      </c>
      <c r="G180" s="1" t="s">
        <v>22</v>
      </c>
      <c r="H180" s="1" t="s">
        <v>14</v>
      </c>
      <c r="I180">
        <v>5</v>
      </c>
      <c r="J180">
        <v>31060.42</v>
      </c>
      <c r="K180" s="1" t="s">
        <v>20</v>
      </c>
      <c r="L180" s="1">
        <f>customer_project_data_500_rows[[#This Row],[Quantity]]*customer_project_data_500_rows[[#This Row],[Price]]</f>
        <v>155302.09999999998</v>
      </c>
    </row>
    <row r="181" spans="1:12" x14ac:dyDescent="0.3">
      <c r="A181">
        <v>1180</v>
      </c>
      <c r="B181" s="1" t="s">
        <v>210</v>
      </c>
      <c r="C181" s="1" t="s">
        <v>531</v>
      </c>
      <c r="D181">
        <v>23</v>
      </c>
      <c r="E181" s="1" t="s">
        <v>12</v>
      </c>
      <c r="F181" s="2">
        <v>45265</v>
      </c>
      <c r="G181" s="1" t="s">
        <v>13</v>
      </c>
      <c r="H181" s="1" t="s">
        <v>23</v>
      </c>
      <c r="I181">
        <v>3</v>
      </c>
      <c r="J181">
        <v>39609.730000000003</v>
      </c>
      <c r="K181" s="1" t="s">
        <v>26</v>
      </c>
      <c r="L181" s="1">
        <f>customer_project_data_500_rows[[#This Row],[Quantity]]*customer_project_data_500_rows[[#This Row],[Price]]</f>
        <v>118829.19</v>
      </c>
    </row>
    <row r="182" spans="1:12" x14ac:dyDescent="0.3">
      <c r="A182">
        <v>1181</v>
      </c>
      <c r="B182" s="1" t="s">
        <v>211</v>
      </c>
      <c r="C182" s="1" t="s">
        <v>42</v>
      </c>
      <c r="D182">
        <v>57</v>
      </c>
      <c r="E182" s="1" t="s">
        <v>36</v>
      </c>
      <c r="F182" s="2">
        <v>45385</v>
      </c>
      <c r="G182" s="1" t="s">
        <v>34</v>
      </c>
      <c r="H182" s="1" t="s">
        <v>19</v>
      </c>
      <c r="I182">
        <v>2</v>
      </c>
      <c r="J182">
        <v>25981.38</v>
      </c>
      <c r="K182" s="1" t="s">
        <v>39</v>
      </c>
      <c r="L182" s="1">
        <f>customer_project_data_500_rows[[#This Row],[Quantity]]*customer_project_data_500_rows[[#This Row],[Price]]</f>
        <v>51962.76</v>
      </c>
    </row>
    <row r="183" spans="1:12" x14ac:dyDescent="0.3">
      <c r="A183">
        <v>1182</v>
      </c>
      <c r="B183" s="1" t="s">
        <v>212</v>
      </c>
      <c r="C183" s="1" t="s">
        <v>531</v>
      </c>
      <c r="D183">
        <v>30</v>
      </c>
      <c r="E183" s="1" t="s">
        <v>12</v>
      </c>
      <c r="F183" s="2">
        <v>45607</v>
      </c>
      <c r="G183" s="1" t="s">
        <v>30</v>
      </c>
      <c r="H183" s="1" t="s">
        <v>19</v>
      </c>
      <c r="I183">
        <v>1</v>
      </c>
      <c r="J183">
        <v>26791.66</v>
      </c>
      <c r="K183" s="1" t="s">
        <v>37</v>
      </c>
      <c r="L183" s="1">
        <f>customer_project_data_500_rows[[#This Row],[Quantity]]*customer_project_data_500_rows[[#This Row],[Price]]</f>
        <v>26791.66</v>
      </c>
    </row>
    <row r="184" spans="1:12" x14ac:dyDescent="0.3">
      <c r="A184">
        <v>1183</v>
      </c>
      <c r="B184" s="1" t="s">
        <v>213</v>
      </c>
      <c r="C184" s="1" t="s">
        <v>531</v>
      </c>
      <c r="D184">
        <v>63</v>
      </c>
      <c r="E184" s="1" t="s">
        <v>12</v>
      </c>
      <c r="F184" s="2">
        <v>45592</v>
      </c>
      <c r="G184" s="1" t="s">
        <v>13</v>
      </c>
      <c r="H184" s="1" t="s">
        <v>14</v>
      </c>
      <c r="I184">
        <v>1</v>
      </c>
      <c r="J184">
        <v>16715.900000000001</v>
      </c>
      <c r="K184" s="1" t="s">
        <v>39</v>
      </c>
      <c r="L184" s="1">
        <f>customer_project_data_500_rows[[#This Row],[Quantity]]*customer_project_data_500_rows[[#This Row],[Price]]</f>
        <v>16715.900000000001</v>
      </c>
    </row>
    <row r="185" spans="1:12" x14ac:dyDescent="0.3">
      <c r="A185">
        <v>1184</v>
      </c>
      <c r="B185" s="1" t="s">
        <v>214</v>
      </c>
      <c r="C185" s="1" t="s">
        <v>532</v>
      </c>
      <c r="D185">
        <v>50</v>
      </c>
      <c r="E185" s="1" t="s">
        <v>29</v>
      </c>
      <c r="F185" s="2">
        <v>45123</v>
      </c>
      <c r="G185" s="1" t="s">
        <v>22</v>
      </c>
      <c r="H185" s="1" t="s">
        <v>14</v>
      </c>
      <c r="I185">
        <v>2</v>
      </c>
      <c r="J185">
        <v>6903.55</v>
      </c>
      <c r="K185" s="1" t="s">
        <v>20</v>
      </c>
      <c r="L185" s="1">
        <f>customer_project_data_500_rows[[#This Row],[Quantity]]*customer_project_data_500_rows[[#This Row],[Price]]</f>
        <v>13807.1</v>
      </c>
    </row>
    <row r="186" spans="1:12" x14ac:dyDescent="0.3">
      <c r="A186">
        <v>1185</v>
      </c>
      <c r="B186" s="1" t="s">
        <v>215</v>
      </c>
      <c r="C186" s="1" t="s">
        <v>531</v>
      </c>
      <c r="D186">
        <v>39</v>
      </c>
      <c r="E186" s="1" t="s">
        <v>29</v>
      </c>
      <c r="F186" s="2">
        <v>45009</v>
      </c>
      <c r="G186" s="1" t="s">
        <v>34</v>
      </c>
      <c r="H186" s="1" t="s">
        <v>19</v>
      </c>
      <c r="I186">
        <v>1</v>
      </c>
      <c r="J186">
        <v>19499.18</v>
      </c>
      <c r="K186" s="1" t="s">
        <v>26</v>
      </c>
      <c r="L186" s="1">
        <f>customer_project_data_500_rows[[#This Row],[Quantity]]*customer_project_data_500_rows[[#This Row],[Price]]</f>
        <v>19499.18</v>
      </c>
    </row>
    <row r="187" spans="1:12" x14ac:dyDescent="0.3">
      <c r="A187">
        <v>1186</v>
      </c>
      <c r="B187" s="1" t="s">
        <v>216</v>
      </c>
      <c r="C187" s="1" t="s">
        <v>532</v>
      </c>
      <c r="D187">
        <v>46</v>
      </c>
      <c r="E187" s="1" t="s">
        <v>17</v>
      </c>
      <c r="F187" s="2">
        <v>45296</v>
      </c>
      <c r="G187" s="1" t="s">
        <v>34</v>
      </c>
      <c r="H187" s="1" t="s">
        <v>19</v>
      </c>
      <c r="I187">
        <v>3</v>
      </c>
      <c r="J187">
        <v>11141.34</v>
      </c>
      <c r="K187" s="1" t="s">
        <v>39</v>
      </c>
      <c r="L187" s="1">
        <f>customer_project_data_500_rows[[#This Row],[Quantity]]*customer_project_data_500_rows[[#This Row],[Price]]</f>
        <v>33424.020000000004</v>
      </c>
    </row>
    <row r="188" spans="1:12" x14ac:dyDescent="0.3">
      <c r="A188">
        <v>1187</v>
      </c>
      <c r="B188" s="1" t="s">
        <v>217</v>
      </c>
      <c r="C188" s="1" t="s">
        <v>531</v>
      </c>
      <c r="D188">
        <v>25</v>
      </c>
      <c r="E188" s="1" t="s">
        <v>32</v>
      </c>
      <c r="F188" s="2">
        <v>45485</v>
      </c>
      <c r="G188" s="1" t="s">
        <v>30</v>
      </c>
      <c r="H188" s="1" t="s">
        <v>23</v>
      </c>
      <c r="I188">
        <v>4</v>
      </c>
      <c r="J188">
        <v>2126.83</v>
      </c>
      <c r="K188" s="1" t="s">
        <v>37</v>
      </c>
      <c r="L188" s="1">
        <f>customer_project_data_500_rows[[#This Row],[Quantity]]*customer_project_data_500_rows[[#This Row],[Price]]</f>
        <v>8507.32</v>
      </c>
    </row>
    <row r="189" spans="1:12" x14ac:dyDescent="0.3">
      <c r="A189">
        <v>1188</v>
      </c>
      <c r="B189" s="1" t="s">
        <v>218</v>
      </c>
      <c r="C189" s="1" t="s">
        <v>532</v>
      </c>
      <c r="D189">
        <v>46</v>
      </c>
      <c r="E189" s="1" t="s">
        <v>36</v>
      </c>
      <c r="F189" s="2">
        <v>44940</v>
      </c>
      <c r="G189" s="1" t="s">
        <v>30</v>
      </c>
      <c r="H189" s="1" t="s">
        <v>19</v>
      </c>
      <c r="I189">
        <v>1</v>
      </c>
      <c r="J189">
        <v>14106.9</v>
      </c>
      <c r="K189" s="1" t="s">
        <v>15</v>
      </c>
      <c r="L189" s="1">
        <f>customer_project_data_500_rows[[#This Row],[Quantity]]*customer_project_data_500_rows[[#This Row],[Price]]</f>
        <v>14106.9</v>
      </c>
    </row>
    <row r="190" spans="1:12" x14ac:dyDescent="0.3">
      <c r="A190">
        <v>1189</v>
      </c>
      <c r="B190" s="1" t="s">
        <v>219</v>
      </c>
      <c r="C190" s="1" t="s">
        <v>531</v>
      </c>
      <c r="D190">
        <v>43</v>
      </c>
      <c r="E190" s="1" t="s">
        <v>36</v>
      </c>
      <c r="F190" s="2">
        <v>44948</v>
      </c>
      <c r="G190" s="1" t="s">
        <v>30</v>
      </c>
      <c r="H190" s="1" t="s">
        <v>23</v>
      </c>
      <c r="I190">
        <v>3</v>
      </c>
      <c r="J190">
        <v>9438.51</v>
      </c>
      <c r="K190" s="1" t="s">
        <v>15</v>
      </c>
      <c r="L190" s="1">
        <f>customer_project_data_500_rows[[#This Row],[Quantity]]*customer_project_data_500_rows[[#This Row],[Price]]</f>
        <v>28315.53</v>
      </c>
    </row>
    <row r="191" spans="1:12" x14ac:dyDescent="0.3">
      <c r="A191">
        <v>1190</v>
      </c>
      <c r="B191" s="1" t="s">
        <v>220</v>
      </c>
      <c r="C191" s="1" t="s">
        <v>531</v>
      </c>
      <c r="D191">
        <v>59</v>
      </c>
      <c r="E191" s="1" t="s">
        <v>17</v>
      </c>
      <c r="F191" s="2">
        <v>45007</v>
      </c>
      <c r="G191" s="1" t="s">
        <v>13</v>
      </c>
      <c r="H191" s="1" t="s">
        <v>14</v>
      </c>
      <c r="I191">
        <v>4</v>
      </c>
      <c r="J191">
        <v>43838.75</v>
      </c>
      <c r="K191" s="1" t="s">
        <v>15</v>
      </c>
      <c r="L191" s="1">
        <f>customer_project_data_500_rows[[#This Row],[Quantity]]*customer_project_data_500_rows[[#This Row],[Price]]</f>
        <v>175355</v>
      </c>
    </row>
    <row r="192" spans="1:12" x14ac:dyDescent="0.3">
      <c r="A192">
        <v>1191</v>
      </c>
      <c r="B192" s="1" t="s">
        <v>221</v>
      </c>
      <c r="C192" s="1" t="s">
        <v>531</v>
      </c>
      <c r="D192">
        <v>51</v>
      </c>
      <c r="E192" s="1" t="s">
        <v>12</v>
      </c>
      <c r="F192" s="2">
        <v>45392</v>
      </c>
      <c r="G192" s="1" t="s">
        <v>22</v>
      </c>
      <c r="H192" s="1" t="s">
        <v>19</v>
      </c>
      <c r="I192">
        <v>5</v>
      </c>
      <c r="J192">
        <v>4521.21</v>
      </c>
      <c r="K192" s="1" t="s">
        <v>39</v>
      </c>
      <c r="L192" s="1">
        <f>customer_project_data_500_rows[[#This Row],[Quantity]]*customer_project_data_500_rows[[#This Row],[Price]]</f>
        <v>22606.05</v>
      </c>
    </row>
    <row r="193" spans="1:12" x14ac:dyDescent="0.3">
      <c r="A193">
        <v>1192</v>
      </c>
      <c r="B193" s="1" t="s">
        <v>222</v>
      </c>
      <c r="C193" s="1" t="s">
        <v>531</v>
      </c>
      <c r="D193">
        <v>19</v>
      </c>
      <c r="E193" s="1" t="s">
        <v>36</v>
      </c>
      <c r="F193" s="2">
        <v>45533</v>
      </c>
      <c r="G193" s="1" t="s">
        <v>18</v>
      </c>
      <c r="H193" s="1" t="s">
        <v>19</v>
      </c>
      <c r="I193">
        <v>4</v>
      </c>
      <c r="J193">
        <v>9602.83</v>
      </c>
      <c r="K193" s="1" t="s">
        <v>20</v>
      </c>
      <c r="L193" s="1">
        <f>customer_project_data_500_rows[[#This Row],[Quantity]]*customer_project_data_500_rows[[#This Row],[Price]]</f>
        <v>38411.32</v>
      </c>
    </row>
    <row r="194" spans="1:12" x14ac:dyDescent="0.3">
      <c r="A194">
        <v>1193</v>
      </c>
      <c r="B194" s="1" t="s">
        <v>223</v>
      </c>
      <c r="C194" s="1" t="s">
        <v>532</v>
      </c>
      <c r="D194">
        <v>31</v>
      </c>
      <c r="E194" s="1" t="s">
        <v>12</v>
      </c>
      <c r="F194" s="2">
        <v>45551</v>
      </c>
      <c r="G194" s="1" t="s">
        <v>30</v>
      </c>
      <c r="H194" s="1" t="s">
        <v>14</v>
      </c>
      <c r="I194">
        <v>3</v>
      </c>
      <c r="J194">
        <v>35349.519999999997</v>
      </c>
      <c r="K194" s="1" t="s">
        <v>26</v>
      </c>
      <c r="L194" s="1">
        <f>customer_project_data_500_rows[[#This Row],[Quantity]]*customer_project_data_500_rows[[#This Row],[Price]]</f>
        <v>106048.56</v>
      </c>
    </row>
    <row r="195" spans="1:12" x14ac:dyDescent="0.3">
      <c r="A195">
        <v>1194</v>
      </c>
      <c r="B195" s="1" t="s">
        <v>224</v>
      </c>
      <c r="C195" s="1" t="s">
        <v>42</v>
      </c>
      <c r="D195">
        <v>56</v>
      </c>
      <c r="E195" s="1" t="s">
        <v>32</v>
      </c>
      <c r="F195" s="2">
        <v>45232</v>
      </c>
      <c r="G195" s="1" t="s">
        <v>22</v>
      </c>
      <c r="H195" s="1" t="s">
        <v>23</v>
      </c>
      <c r="I195">
        <v>4</v>
      </c>
      <c r="J195">
        <v>46001.68</v>
      </c>
      <c r="K195" s="1" t="s">
        <v>39</v>
      </c>
      <c r="L195" s="1">
        <f>customer_project_data_500_rows[[#This Row],[Quantity]]*customer_project_data_500_rows[[#This Row],[Price]]</f>
        <v>184006.72</v>
      </c>
    </row>
    <row r="196" spans="1:12" x14ac:dyDescent="0.3">
      <c r="A196">
        <v>1195</v>
      </c>
      <c r="B196" s="1" t="s">
        <v>225</v>
      </c>
      <c r="C196" s="1" t="s">
        <v>531</v>
      </c>
      <c r="D196">
        <v>39</v>
      </c>
      <c r="E196" s="1" t="s">
        <v>32</v>
      </c>
      <c r="F196" s="2">
        <v>44978</v>
      </c>
      <c r="G196" s="1" t="s">
        <v>13</v>
      </c>
      <c r="H196" s="1" t="s">
        <v>19</v>
      </c>
      <c r="I196">
        <v>3</v>
      </c>
      <c r="J196">
        <v>12947.19</v>
      </c>
      <c r="K196" s="1" t="s">
        <v>37</v>
      </c>
      <c r="L196" s="1">
        <f>customer_project_data_500_rows[[#This Row],[Quantity]]*customer_project_data_500_rows[[#This Row],[Price]]</f>
        <v>38841.57</v>
      </c>
    </row>
    <row r="197" spans="1:12" x14ac:dyDescent="0.3">
      <c r="A197">
        <v>1196</v>
      </c>
      <c r="B197" s="1" t="s">
        <v>226</v>
      </c>
      <c r="C197" s="1" t="s">
        <v>532</v>
      </c>
      <c r="D197">
        <v>45</v>
      </c>
      <c r="E197" s="1" t="s">
        <v>36</v>
      </c>
      <c r="F197" s="2">
        <v>45069</v>
      </c>
      <c r="G197" s="1" t="s">
        <v>30</v>
      </c>
      <c r="H197" s="1" t="s">
        <v>14</v>
      </c>
      <c r="I197">
        <v>2</v>
      </c>
      <c r="J197">
        <v>1554.41</v>
      </c>
      <c r="K197" s="1" t="s">
        <v>39</v>
      </c>
      <c r="L197" s="1">
        <f>customer_project_data_500_rows[[#This Row],[Quantity]]*customer_project_data_500_rows[[#This Row],[Price]]</f>
        <v>3108.82</v>
      </c>
    </row>
    <row r="198" spans="1:12" x14ac:dyDescent="0.3">
      <c r="A198">
        <v>1197</v>
      </c>
      <c r="B198" s="1" t="s">
        <v>227</v>
      </c>
      <c r="C198" s="1" t="s">
        <v>532</v>
      </c>
      <c r="D198">
        <v>56</v>
      </c>
      <c r="E198" s="1" t="s">
        <v>12</v>
      </c>
      <c r="F198" s="2">
        <v>45085</v>
      </c>
      <c r="G198" s="1" t="s">
        <v>25</v>
      </c>
      <c r="H198" s="1" t="s">
        <v>23</v>
      </c>
      <c r="I198">
        <v>2</v>
      </c>
      <c r="J198">
        <v>48044.97</v>
      </c>
      <c r="K198" s="1" t="s">
        <v>20</v>
      </c>
      <c r="L198" s="1">
        <f>customer_project_data_500_rows[[#This Row],[Quantity]]*customer_project_data_500_rows[[#This Row],[Price]]</f>
        <v>96089.94</v>
      </c>
    </row>
    <row r="199" spans="1:12" x14ac:dyDescent="0.3">
      <c r="A199">
        <v>1198</v>
      </c>
      <c r="B199" s="1" t="s">
        <v>228</v>
      </c>
      <c r="C199" s="1" t="s">
        <v>42</v>
      </c>
      <c r="D199">
        <v>38</v>
      </c>
      <c r="E199" s="1" t="s">
        <v>17</v>
      </c>
      <c r="F199" s="2">
        <v>44937</v>
      </c>
      <c r="G199" s="1" t="s">
        <v>34</v>
      </c>
      <c r="H199" s="1" t="s">
        <v>19</v>
      </c>
      <c r="I199">
        <v>5</v>
      </c>
      <c r="J199">
        <v>34269.919999999998</v>
      </c>
      <c r="K199" s="1" t="s">
        <v>37</v>
      </c>
      <c r="L199" s="1">
        <f>customer_project_data_500_rows[[#This Row],[Quantity]]*customer_project_data_500_rows[[#This Row],[Price]]</f>
        <v>171349.59999999998</v>
      </c>
    </row>
    <row r="200" spans="1:12" x14ac:dyDescent="0.3">
      <c r="A200">
        <v>1199</v>
      </c>
      <c r="B200" s="1" t="s">
        <v>229</v>
      </c>
      <c r="C200" s="1" t="s">
        <v>531</v>
      </c>
      <c r="D200">
        <v>51</v>
      </c>
      <c r="E200" s="1" t="s">
        <v>36</v>
      </c>
      <c r="F200" s="2">
        <v>45187</v>
      </c>
      <c r="G200" s="1" t="s">
        <v>18</v>
      </c>
      <c r="H200" s="1" t="s">
        <v>23</v>
      </c>
      <c r="I200">
        <v>2</v>
      </c>
      <c r="J200">
        <v>15877.8</v>
      </c>
      <c r="K200" s="1" t="s">
        <v>26</v>
      </c>
      <c r="L200" s="1">
        <f>customer_project_data_500_rows[[#This Row],[Quantity]]*customer_project_data_500_rows[[#This Row],[Price]]</f>
        <v>31755.599999999999</v>
      </c>
    </row>
    <row r="201" spans="1:12" x14ac:dyDescent="0.3">
      <c r="A201">
        <v>1200</v>
      </c>
      <c r="B201" s="1" t="s">
        <v>230</v>
      </c>
      <c r="C201" s="1" t="s">
        <v>532</v>
      </c>
      <c r="D201">
        <v>19</v>
      </c>
      <c r="E201" s="1" t="s">
        <v>29</v>
      </c>
      <c r="F201" s="2">
        <v>45109</v>
      </c>
      <c r="G201" s="1" t="s">
        <v>13</v>
      </c>
      <c r="H201" s="1" t="s">
        <v>23</v>
      </c>
      <c r="I201">
        <v>3</v>
      </c>
      <c r="J201">
        <v>23882.49</v>
      </c>
      <c r="K201" s="1" t="s">
        <v>39</v>
      </c>
      <c r="L201" s="1">
        <f>customer_project_data_500_rows[[#This Row],[Quantity]]*customer_project_data_500_rows[[#This Row],[Price]]</f>
        <v>71647.47</v>
      </c>
    </row>
    <row r="202" spans="1:12" x14ac:dyDescent="0.3">
      <c r="A202">
        <v>1201</v>
      </c>
      <c r="B202" s="1" t="s">
        <v>231</v>
      </c>
      <c r="C202" s="1" t="s">
        <v>42</v>
      </c>
      <c r="D202">
        <v>49</v>
      </c>
      <c r="E202" s="1" t="s">
        <v>32</v>
      </c>
      <c r="F202" s="2">
        <v>45025</v>
      </c>
      <c r="G202" s="1" t="s">
        <v>30</v>
      </c>
      <c r="H202" s="1" t="s">
        <v>14</v>
      </c>
      <c r="I202">
        <v>1</v>
      </c>
      <c r="J202">
        <v>30163.17</v>
      </c>
      <c r="K202" s="1" t="s">
        <v>20</v>
      </c>
      <c r="L202" s="1">
        <f>customer_project_data_500_rows[[#This Row],[Quantity]]*customer_project_data_500_rows[[#This Row],[Price]]</f>
        <v>30163.17</v>
      </c>
    </row>
    <row r="203" spans="1:12" x14ac:dyDescent="0.3">
      <c r="A203">
        <v>1202</v>
      </c>
      <c r="B203" s="1" t="s">
        <v>232</v>
      </c>
      <c r="C203" s="1" t="s">
        <v>42</v>
      </c>
      <c r="D203">
        <v>56</v>
      </c>
      <c r="E203" s="1" t="s">
        <v>36</v>
      </c>
      <c r="F203" s="2">
        <v>44962</v>
      </c>
      <c r="G203" s="1" t="s">
        <v>25</v>
      </c>
      <c r="H203" s="1" t="s">
        <v>23</v>
      </c>
      <c r="I203">
        <v>5</v>
      </c>
      <c r="J203">
        <v>19006.490000000002</v>
      </c>
      <c r="K203" s="1" t="s">
        <v>15</v>
      </c>
      <c r="L203" s="1">
        <f>customer_project_data_500_rows[[#This Row],[Quantity]]*customer_project_data_500_rows[[#This Row],[Price]]</f>
        <v>95032.450000000012</v>
      </c>
    </row>
    <row r="204" spans="1:12" x14ac:dyDescent="0.3">
      <c r="A204">
        <v>1203</v>
      </c>
      <c r="B204" s="1" t="s">
        <v>233</v>
      </c>
      <c r="C204" s="1" t="s">
        <v>42</v>
      </c>
      <c r="D204">
        <v>46</v>
      </c>
      <c r="E204" s="1" t="s">
        <v>29</v>
      </c>
      <c r="F204" s="2">
        <v>45041</v>
      </c>
      <c r="G204" s="1" t="s">
        <v>25</v>
      </c>
      <c r="H204" s="1" t="s">
        <v>23</v>
      </c>
      <c r="I204">
        <v>3</v>
      </c>
      <c r="J204">
        <v>43787.15</v>
      </c>
      <c r="K204" s="1" t="s">
        <v>39</v>
      </c>
      <c r="L204" s="1">
        <f>customer_project_data_500_rows[[#This Row],[Quantity]]*customer_project_data_500_rows[[#This Row],[Price]]</f>
        <v>131361.45000000001</v>
      </c>
    </row>
    <row r="205" spans="1:12" x14ac:dyDescent="0.3">
      <c r="A205">
        <v>1204</v>
      </c>
      <c r="B205" s="1" t="s">
        <v>234</v>
      </c>
      <c r="C205" s="1" t="s">
        <v>532</v>
      </c>
      <c r="D205">
        <v>29</v>
      </c>
      <c r="E205" s="1" t="s">
        <v>12</v>
      </c>
      <c r="F205" s="2">
        <v>45111</v>
      </c>
      <c r="G205" s="1" t="s">
        <v>30</v>
      </c>
      <c r="H205" s="1" t="s">
        <v>23</v>
      </c>
      <c r="I205">
        <v>1</v>
      </c>
      <c r="J205">
        <v>36445.54</v>
      </c>
      <c r="K205" s="1" t="s">
        <v>20</v>
      </c>
      <c r="L205" s="1">
        <f>customer_project_data_500_rows[[#This Row],[Quantity]]*customer_project_data_500_rows[[#This Row],[Price]]</f>
        <v>36445.54</v>
      </c>
    </row>
    <row r="206" spans="1:12" x14ac:dyDescent="0.3">
      <c r="A206">
        <v>1205</v>
      </c>
      <c r="B206" s="1" t="s">
        <v>235</v>
      </c>
      <c r="C206" s="1" t="s">
        <v>531</v>
      </c>
      <c r="D206">
        <v>53</v>
      </c>
      <c r="E206" s="1" t="s">
        <v>12</v>
      </c>
      <c r="F206" s="2">
        <v>45580</v>
      </c>
      <c r="G206" s="1" t="s">
        <v>13</v>
      </c>
      <c r="H206" s="1" t="s">
        <v>14</v>
      </c>
      <c r="I206">
        <v>3</v>
      </c>
      <c r="J206">
        <v>47739.86</v>
      </c>
      <c r="K206" s="1" t="s">
        <v>15</v>
      </c>
      <c r="L206" s="1">
        <f>customer_project_data_500_rows[[#This Row],[Quantity]]*customer_project_data_500_rows[[#This Row],[Price]]</f>
        <v>143219.58000000002</v>
      </c>
    </row>
    <row r="207" spans="1:12" x14ac:dyDescent="0.3">
      <c r="A207">
        <v>1206</v>
      </c>
      <c r="B207" s="1" t="s">
        <v>236</v>
      </c>
      <c r="C207" s="1" t="s">
        <v>531</v>
      </c>
      <c r="D207">
        <v>49</v>
      </c>
      <c r="E207" s="1" t="s">
        <v>17</v>
      </c>
      <c r="F207" s="2">
        <v>45177</v>
      </c>
      <c r="G207" s="1" t="s">
        <v>18</v>
      </c>
      <c r="H207" s="1" t="s">
        <v>19</v>
      </c>
      <c r="I207">
        <v>1</v>
      </c>
      <c r="J207">
        <v>17877.740000000002</v>
      </c>
      <c r="K207" s="1" t="s">
        <v>37</v>
      </c>
      <c r="L207" s="1">
        <f>customer_project_data_500_rows[[#This Row],[Quantity]]*customer_project_data_500_rows[[#This Row],[Price]]</f>
        <v>17877.740000000002</v>
      </c>
    </row>
    <row r="208" spans="1:12" x14ac:dyDescent="0.3">
      <c r="A208">
        <v>1207</v>
      </c>
      <c r="B208" s="1" t="s">
        <v>237</v>
      </c>
      <c r="C208" s="1" t="s">
        <v>531</v>
      </c>
      <c r="D208">
        <v>20</v>
      </c>
      <c r="E208" s="1" t="s">
        <v>17</v>
      </c>
      <c r="F208" s="2">
        <v>45194</v>
      </c>
      <c r="G208" s="1" t="s">
        <v>30</v>
      </c>
      <c r="H208" s="1" t="s">
        <v>23</v>
      </c>
      <c r="I208">
        <v>3</v>
      </c>
      <c r="J208">
        <v>46890.12</v>
      </c>
      <c r="K208" s="1" t="s">
        <v>15</v>
      </c>
      <c r="L208" s="1">
        <f>customer_project_data_500_rows[[#This Row],[Quantity]]*customer_project_data_500_rows[[#This Row],[Price]]</f>
        <v>140670.36000000002</v>
      </c>
    </row>
    <row r="209" spans="1:12" x14ac:dyDescent="0.3">
      <c r="A209">
        <v>1208</v>
      </c>
      <c r="B209" s="1" t="s">
        <v>238</v>
      </c>
      <c r="C209" s="1" t="s">
        <v>531</v>
      </c>
      <c r="D209">
        <v>21</v>
      </c>
      <c r="E209" s="1" t="s">
        <v>32</v>
      </c>
      <c r="F209" s="2">
        <v>45292</v>
      </c>
      <c r="G209" s="1" t="s">
        <v>13</v>
      </c>
      <c r="H209" s="1" t="s">
        <v>19</v>
      </c>
      <c r="I209">
        <v>1</v>
      </c>
      <c r="J209">
        <v>24215.48</v>
      </c>
      <c r="K209" s="1" t="s">
        <v>20</v>
      </c>
      <c r="L209" s="1">
        <f>customer_project_data_500_rows[[#This Row],[Quantity]]*customer_project_data_500_rows[[#This Row],[Price]]</f>
        <v>24215.48</v>
      </c>
    </row>
    <row r="210" spans="1:12" x14ac:dyDescent="0.3">
      <c r="A210">
        <v>1209</v>
      </c>
      <c r="B210" s="1" t="s">
        <v>239</v>
      </c>
      <c r="C210" s="1" t="s">
        <v>42</v>
      </c>
      <c r="D210">
        <v>50</v>
      </c>
      <c r="E210" s="1" t="s">
        <v>36</v>
      </c>
      <c r="F210" s="2">
        <v>45588</v>
      </c>
      <c r="G210" s="1" t="s">
        <v>18</v>
      </c>
      <c r="H210" s="1" t="s">
        <v>23</v>
      </c>
      <c r="I210">
        <v>2</v>
      </c>
      <c r="J210">
        <v>32294.97</v>
      </c>
      <c r="K210" s="1" t="s">
        <v>37</v>
      </c>
      <c r="L210" s="1">
        <f>customer_project_data_500_rows[[#This Row],[Quantity]]*customer_project_data_500_rows[[#This Row],[Price]]</f>
        <v>64589.94</v>
      </c>
    </row>
    <row r="211" spans="1:12" x14ac:dyDescent="0.3">
      <c r="A211">
        <v>1210</v>
      </c>
      <c r="B211" s="1" t="s">
        <v>240</v>
      </c>
      <c r="C211" s="1" t="s">
        <v>532</v>
      </c>
      <c r="D211">
        <v>28</v>
      </c>
      <c r="E211" s="1" t="s">
        <v>12</v>
      </c>
      <c r="F211" s="2">
        <v>45520</v>
      </c>
      <c r="G211" s="1" t="s">
        <v>30</v>
      </c>
      <c r="H211" s="1" t="s">
        <v>23</v>
      </c>
      <c r="I211">
        <v>1</v>
      </c>
      <c r="J211">
        <v>36964.04</v>
      </c>
      <c r="K211" s="1" t="s">
        <v>37</v>
      </c>
      <c r="L211" s="1">
        <f>customer_project_data_500_rows[[#This Row],[Quantity]]*customer_project_data_500_rows[[#This Row],[Price]]</f>
        <v>36964.04</v>
      </c>
    </row>
    <row r="212" spans="1:12" x14ac:dyDescent="0.3">
      <c r="A212">
        <v>1211</v>
      </c>
      <c r="B212" s="1" t="s">
        <v>241</v>
      </c>
      <c r="C212" s="1" t="s">
        <v>532</v>
      </c>
      <c r="D212">
        <v>50</v>
      </c>
      <c r="E212" s="1" t="s">
        <v>17</v>
      </c>
      <c r="F212" s="2">
        <v>45561</v>
      </c>
      <c r="G212" s="1" t="s">
        <v>22</v>
      </c>
      <c r="H212" s="1" t="s">
        <v>23</v>
      </c>
      <c r="I212">
        <v>2</v>
      </c>
      <c r="J212">
        <v>40562.230000000003</v>
      </c>
      <c r="K212" s="1" t="s">
        <v>15</v>
      </c>
      <c r="L212" s="1">
        <f>customer_project_data_500_rows[[#This Row],[Quantity]]*customer_project_data_500_rows[[#This Row],[Price]]</f>
        <v>81124.460000000006</v>
      </c>
    </row>
    <row r="213" spans="1:12" x14ac:dyDescent="0.3">
      <c r="A213">
        <v>1212</v>
      </c>
      <c r="B213" s="1" t="s">
        <v>242</v>
      </c>
      <c r="C213" s="1" t="s">
        <v>42</v>
      </c>
      <c r="D213">
        <v>51</v>
      </c>
      <c r="E213" s="1" t="s">
        <v>17</v>
      </c>
      <c r="F213" s="2">
        <v>45021</v>
      </c>
      <c r="G213" s="1" t="s">
        <v>30</v>
      </c>
      <c r="H213" s="1" t="s">
        <v>19</v>
      </c>
      <c r="I213">
        <v>1</v>
      </c>
      <c r="J213">
        <v>20114.84</v>
      </c>
      <c r="K213" s="1" t="s">
        <v>39</v>
      </c>
      <c r="L213" s="1">
        <f>customer_project_data_500_rows[[#This Row],[Quantity]]*customer_project_data_500_rows[[#This Row],[Price]]</f>
        <v>20114.84</v>
      </c>
    </row>
    <row r="214" spans="1:12" x14ac:dyDescent="0.3">
      <c r="A214">
        <v>1213</v>
      </c>
      <c r="B214" s="1" t="s">
        <v>243</v>
      </c>
      <c r="C214" s="1" t="s">
        <v>532</v>
      </c>
      <c r="D214">
        <v>23</v>
      </c>
      <c r="E214" s="1" t="s">
        <v>29</v>
      </c>
      <c r="F214" s="2">
        <v>45309</v>
      </c>
      <c r="G214" s="1" t="s">
        <v>22</v>
      </c>
      <c r="H214" s="1" t="s">
        <v>19</v>
      </c>
      <c r="I214">
        <v>2</v>
      </c>
      <c r="J214">
        <v>22673.33</v>
      </c>
      <c r="K214" s="1" t="s">
        <v>26</v>
      </c>
      <c r="L214" s="1">
        <f>customer_project_data_500_rows[[#This Row],[Quantity]]*customer_project_data_500_rows[[#This Row],[Price]]</f>
        <v>45346.66</v>
      </c>
    </row>
    <row r="215" spans="1:12" x14ac:dyDescent="0.3">
      <c r="A215">
        <v>1214</v>
      </c>
      <c r="B215" s="1" t="s">
        <v>244</v>
      </c>
      <c r="C215" s="1" t="s">
        <v>531</v>
      </c>
      <c r="D215">
        <v>18</v>
      </c>
      <c r="E215" s="1" t="s">
        <v>36</v>
      </c>
      <c r="F215" s="2">
        <v>45402</v>
      </c>
      <c r="G215" s="1" t="s">
        <v>22</v>
      </c>
      <c r="H215" s="1" t="s">
        <v>23</v>
      </c>
      <c r="I215">
        <v>4</v>
      </c>
      <c r="J215">
        <v>40955.21</v>
      </c>
      <c r="K215" s="1" t="s">
        <v>15</v>
      </c>
      <c r="L215" s="1">
        <f>customer_project_data_500_rows[[#This Row],[Quantity]]*customer_project_data_500_rows[[#This Row],[Price]]</f>
        <v>163820.84</v>
      </c>
    </row>
    <row r="216" spans="1:12" x14ac:dyDescent="0.3">
      <c r="A216">
        <v>1215</v>
      </c>
      <c r="B216" s="1" t="s">
        <v>245</v>
      </c>
      <c r="C216" s="1" t="s">
        <v>532</v>
      </c>
      <c r="D216">
        <v>55</v>
      </c>
      <c r="E216" s="1" t="s">
        <v>17</v>
      </c>
      <c r="F216" s="2">
        <v>45012</v>
      </c>
      <c r="G216" s="1" t="s">
        <v>13</v>
      </c>
      <c r="H216" s="1" t="s">
        <v>23</v>
      </c>
      <c r="I216">
        <v>5</v>
      </c>
      <c r="J216">
        <v>36019.08</v>
      </c>
      <c r="K216" s="1" t="s">
        <v>39</v>
      </c>
      <c r="L216" s="1">
        <f>customer_project_data_500_rows[[#This Row],[Quantity]]*customer_project_data_500_rows[[#This Row],[Price]]</f>
        <v>180095.40000000002</v>
      </c>
    </row>
    <row r="217" spans="1:12" x14ac:dyDescent="0.3">
      <c r="A217">
        <v>1216</v>
      </c>
      <c r="B217" s="1" t="s">
        <v>246</v>
      </c>
      <c r="C217" s="1" t="s">
        <v>42</v>
      </c>
      <c r="D217">
        <v>64</v>
      </c>
      <c r="E217" s="1" t="s">
        <v>36</v>
      </c>
      <c r="F217" s="2">
        <v>45170</v>
      </c>
      <c r="G217" s="1" t="s">
        <v>25</v>
      </c>
      <c r="H217" s="1" t="s">
        <v>14</v>
      </c>
      <c r="I217">
        <v>2</v>
      </c>
      <c r="J217">
        <v>47072.04</v>
      </c>
      <c r="K217" s="1" t="s">
        <v>26</v>
      </c>
      <c r="L217" s="1">
        <f>customer_project_data_500_rows[[#This Row],[Quantity]]*customer_project_data_500_rows[[#This Row],[Price]]</f>
        <v>94144.08</v>
      </c>
    </row>
    <row r="218" spans="1:12" x14ac:dyDescent="0.3">
      <c r="A218">
        <v>1217</v>
      </c>
      <c r="B218" s="1" t="s">
        <v>247</v>
      </c>
      <c r="C218" s="1" t="s">
        <v>532</v>
      </c>
      <c r="D218">
        <v>26</v>
      </c>
      <c r="E218" s="1" t="s">
        <v>36</v>
      </c>
      <c r="F218" s="2">
        <v>44987</v>
      </c>
      <c r="G218" s="1" t="s">
        <v>25</v>
      </c>
      <c r="H218" s="1" t="s">
        <v>19</v>
      </c>
      <c r="I218">
        <v>5</v>
      </c>
      <c r="J218">
        <v>48990.09</v>
      </c>
      <c r="K218" s="1" t="s">
        <v>39</v>
      </c>
      <c r="L218" s="1">
        <f>customer_project_data_500_rows[[#This Row],[Quantity]]*customer_project_data_500_rows[[#This Row],[Price]]</f>
        <v>244950.44999999998</v>
      </c>
    </row>
    <row r="219" spans="1:12" x14ac:dyDescent="0.3">
      <c r="A219">
        <v>1218</v>
      </c>
      <c r="B219" s="1" t="s">
        <v>248</v>
      </c>
      <c r="C219" s="1" t="s">
        <v>42</v>
      </c>
      <c r="D219">
        <v>61</v>
      </c>
      <c r="E219" s="1" t="s">
        <v>17</v>
      </c>
      <c r="F219" s="2">
        <v>45170</v>
      </c>
      <c r="G219" s="1" t="s">
        <v>30</v>
      </c>
      <c r="H219" s="1" t="s">
        <v>19</v>
      </c>
      <c r="I219">
        <v>1</v>
      </c>
      <c r="J219">
        <v>9356.2099999999991</v>
      </c>
      <c r="K219" s="1" t="s">
        <v>37</v>
      </c>
      <c r="L219" s="1">
        <f>customer_project_data_500_rows[[#This Row],[Quantity]]*customer_project_data_500_rows[[#This Row],[Price]]</f>
        <v>9356.2099999999991</v>
      </c>
    </row>
    <row r="220" spans="1:12" x14ac:dyDescent="0.3">
      <c r="A220">
        <v>1219</v>
      </c>
      <c r="B220" s="1" t="s">
        <v>249</v>
      </c>
      <c r="C220" s="1" t="s">
        <v>42</v>
      </c>
      <c r="D220">
        <v>62</v>
      </c>
      <c r="E220" s="1" t="s">
        <v>36</v>
      </c>
      <c r="F220" s="2">
        <v>45403</v>
      </c>
      <c r="G220" s="1" t="s">
        <v>25</v>
      </c>
      <c r="H220" s="1" t="s">
        <v>14</v>
      </c>
      <c r="I220">
        <v>2</v>
      </c>
      <c r="J220">
        <v>11782.01</v>
      </c>
      <c r="K220" s="1" t="s">
        <v>39</v>
      </c>
      <c r="L220" s="1">
        <f>customer_project_data_500_rows[[#This Row],[Quantity]]*customer_project_data_500_rows[[#This Row],[Price]]</f>
        <v>23564.02</v>
      </c>
    </row>
    <row r="221" spans="1:12" x14ac:dyDescent="0.3">
      <c r="A221">
        <v>1220</v>
      </c>
      <c r="B221" s="1" t="s">
        <v>250</v>
      </c>
      <c r="C221" s="1" t="s">
        <v>532</v>
      </c>
      <c r="D221">
        <v>42</v>
      </c>
      <c r="E221" s="1" t="s">
        <v>36</v>
      </c>
      <c r="F221" s="2">
        <v>45281</v>
      </c>
      <c r="G221" s="1" t="s">
        <v>22</v>
      </c>
      <c r="H221" s="1" t="s">
        <v>14</v>
      </c>
      <c r="I221">
        <v>3</v>
      </c>
      <c r="J221">
        <v>35941.33</v>
      </c>
      <c r="K221" s="1" t="s">
        <v>37</v>
      </c>
      <c r="L221" s="1">
        <f>customer_project_data_500_rows[[#This Row],[Quantity]]*customer_project_data_500_rows[[#This Row],[Price]]</f>
        <v>107823.99</v>
      </c>
    </row>
    <row r="222" spans="1:12" x14ac:dyDescent="0.3">
      <c r="A222">
        <v>1221</v>
      </c>
      <c r="B222" s="1" t="s">
        <v>251</v>
      </c>
      <c r="C222" s="1" t="s">
        <v>531</v>
      </c>
      <c r="D222">
        <v>34</v>
      </c>
      <c r="E222" s="1" t="s">
        <v>29</v>
      </c>
      <c r="F222" s="2">
        <v>45274</v>
      </c>
      <c r="G222" s="1" t="s">
        <v>18</v>
      </c>
      <c r="H222" s="1" t="s">
        <v>19</v>
      </c>
      <c r="I222">
        <v>4</v>
      </c>
      <c r="J222">
        <v>37495.449999999997</v>
      </c>
      <c r="K222" s="1" t="s">
        <v>37</v>
      </c>
      <c r="L222" s="1">
        <f>customer_project_data_500_rows[[#This Row],[Quantity]]*customer_project_data_500_rows[[#This Row],[Price]]</f>
        <v>149981.79999999999</v>
      </c>
    </row>
    <row r="223" spans="1:12" x14ac:dyDescent="0.3">
      <c r="A223">
        <v>1222</v>
      </c>
      <c r="B223" s="1" t="s">
        <v>252</v>
      </c>
      <c r="C223" s="1" t="s">
        <v>532</v>
      </c>
      <c r="D223">
        <v>50</v>
      </c>
      <c r="E223" s="1" t="s">
        <v>12</v>
      </c>
      <c r="F223" s="2">
        <v>45129</v>
      </c>
      <c r="G223" s="1" t="s">
        <v>34</v>
      </c>
      <c r="H223" s="1" t="s">
        <v>23</v>
      </c>
      <c r="I223">
        <v>5</v>
      </c>
      <c r="J223">
        <v>30357.39</v>
      </c>
      <c r="K223" s="1" t="s">
        <v>39</v>
      </c>
      <c r="L223" s="1">
        <f>customer_project_data_500_rows[[#This Row],[Quantity]]*customer_project_data_500_rows[[#This Row],[Price]]</f>
        <v>151786.95000000001</v>
      </c>
    </row>
    <row r="224" spans="1:12" x14ac:dyDescent="0.3">
      <c r="A224">
        <v>1223</v>
      </c>
      <c r="B224" s="1" t="s">
        <v>253</v>
      </c>
      <c r="C224" s="1" t="s">
        <v>532</v>
      </c>
      <c r="D224">
        <v>50</v>
      </c>
      <c r="E224" s="1" t="s">
        <v>32</v>
      </c>
      <c r="F224" s="2">
        <v>45575</v>
      </c>
      <c r="G224" s="1" t="s">
        <v>22</v>
      </c>
      <c r="H224" s="1" t="s">
        <v>23</v>
      </c>
      <c r="I224">
        <v>4</v>
      </c>
      <c r="J224">
        <v>43926.34</v>
      </c>
      <c r="K224" s="1" t="s">
        <v>37</v>
      </c>
      <c r="L224" s="1">
        <f>customer_project_data_500_rows[[#This Row],[Quantity]]*customer_project_data_500_rows[[#This Row],[Price]]</f>
        <v>175705.36</v>
      </c>
    </row>
    <row r="225" spans="1:12" x14ac:dyDescent="0.3">
      <c r="A225">
        <v>1224</v>
      </c>
      <c r="B225" s="1" t="s">
        <v>254</v>
      </c>
      <c r="C225" s="1" t="s">
        <v>532</v>
      </c>
      <c r="D225">
        <v>59</v>
      </c>
      <c r="E225" s="1" t="s">
        <v>17</v>
      </c>
      <c r="F225" s="2">
        <v>45136</v>
      </c>
      <c r="G225" s="1" t="s">
        <v>13</v>
      </c>
      <c r="H225" s="1" t="s">
        <v>14</v>
      </c>
      <c r="I225">
        <v>4</v>
      </c>
      <c r="J225">
        <v>12973.53</v>
      </c>
      <c r="K225" s="1" t="s">
        <v>39</v>
      </c>
      <c r="L225" s="1">
        <f>customer_project_data_500_rows[[#This Row],[Quantity]]*customer_project_data_500_rows[[#This Row],[Price]]</f>
        <v>51894.12</v>
      </c>
    </row>
    <row r="226" spans="1:12" x14ac:dyDescent="0.3">
      <c r="A226">
        <v>1225</v>
      </c>
      <c r="B226" s="1" t="s">
        <v>255</v>
      </c>
      <c r="C226" s="1" t="s">
        <v>531</v>
      </c>
      <c r="D226">
        <v>42</v>
      </c>
      <c r="E226" s="1" t="s">
        <v>29</v>
      </c>
      <c r="F226" s="2">
        <v>45594</v>
      </c>
      <c r="G226" s="1" t="s">
        <v>34</v>
      </c>
      <c r="H226" s="1" t="s">
        <v>23</v>
      </c>
      <c r="I226">
        <v>3</v>
      </c>
      <c r="J226">
        <v>17304.63</v>
      </c>
      <c r="K226" s="1" t="s">
        <v>15</v>
      </c>
      <c r="L226" s="1">
        <f>customer_project_data_500_rows[[#This Row],[Quantity]]*customer_project_data_500_rows[[#This Row],[Price]]</f>
        <v>51913.89</v>
      </c>
    </row>
    <row r="227" spans="1:12" x14ac:dyDescent="0.3">
      <c r="A227">
        <v>1226</v>
      </c>
      <c r="B227" s="1" t="s">
        <v>256</v>
      </c>
      <c r="C227" s="1" t="s">
        <v>42</v>
      </c>
      <c r="D227">
        <v>39</v>
      </c>
      <c r="E227" s="1" t="s">
        <v>17</v>
      </c>
      <c r="F227" s="2">
        <v>45336</v>
      </c>
      <c r="G227" s="1" t="s">
        <v>34</v>
      </c>
      <c r="H227" s="1" t="s">
        <v>14</v>
      </c>
      <c r="I227">
        <v>5</v>
      </c>
      <c r="J227">
        <v>24985.02</v>
      </c>
      <c r="K227" s="1" t="s">
        <v>20</v>
      </c>
      <c r="L227" s="1">
        <f>customer_project_data_500_rows[[#This Row],[Quantity]]*customer_project_data_500_rows[[#This Row],[Price]]</f>
        <v>124925.1</v>
      </c>
    </row>
    <row r="228" spans="1:12" x14ac:dyDescent="0.3">
      <c r="A228">
        <v>1227</v>
      </c>
      <c r="B228" s="1" t="s">
        <v>257</v>
      </c>
      <c r="C228" s="1" t="s">
        <v>531</v>
      </c>
      <c r="D228">
        <v>45</v>
      </c>
      <c r="E228" s="1" t="s">
        <v>12</v>
      </c>
      <c r="F228" s="2">
        <v>45603</v>
      </c>
      <c r="G228" s="1" t="s">
        <v>22</v>
      </c>
      <c r="H228" s="1" t="s">
        <v>14</v>
      </c>
      <c r="I228">
        <v>3</v>
      </c>
      <c r="J228">
        <v>16093.84</v>
      </c>
      <c r="K228" s="1" t="s">
        <v>15</v>
      </c>
      <c r="L228" s="1">
        <f>customer_project_data_500_rows[[#This Row],[Quantity]]*customer_project_data_500_rows[[#This Row],[Price]]</f>
        <v>48281.520000000004</v>
      </c>
    </row>
    <row r="229" spans="1:12" x14ac:dyDescent="0.3">
      <c r="A229">
        <v>1228</v>
      </c>
      <c r="B229" s="1" t="s">
        <v>258</v>
      </c>
      <c r="C229" s="1" t="s">
        <v>532</v>
      </c>
      <c r="D229">
        <v>64</v>
      </c>
      <c r="E229" s="1" t="s">
        <v>29</v>
      </c>
      <c r="F229" s="2">
        <v>45325</v>
      </c>
      <c r="G229" s="1" t="s">
        <v>18</v>
      </c>
      <c r="H229" s="1" t="s">
        <v>23</v>
      </c>
      <c r="I229">
        <v>4</v>
      </c>
      <c r="J229">
        <v>27499.23</v>
      </c>
      <c r="K229" s="1" t="s">
        <v>20</v>
      </c>
      <c r="L229" s="1">
        <f>customer_project_data_500_rows[[#This Row],[Quantity]]*customer_project_data_500_rows[[#This Row],[Price]]</f>
        <v>109996.92</v>
      </c>
    </row>
    <row r="230" spans="1:12" x14ac:dyDescent="0.3">
      <c r="A230">
        <v>1229</v>
      </c>
      <c r="B230" s="1" t="s">
        <v>259</v>
      </c>
      <c r="C230" s="1" t="s">
        <v>532</v>
      </c>
      <c r="D230">
        <v>53</v>
      </c>
      <c r="E230" s="1" t="s">
        <v>36</v>
      </c>
      <c r="F230" s="2">
        <v>45314</v>
      </c>
      <c r="G230" s="1" t="s">
        <v>25</v>
      </c>
      <c r="H230" s="1" t="s">
        <v>14</v>
      </c>
      <c r="I230">
        <v>5</v>
      </c>
      <c r="J230">
        <v>34282.660000000003</v>
      </c>
      <c r="K230" s="1" t="s">
        <v>26</v>
      </c>
      <c r="L230" s="1">
        <f>customer_project_data_500_rows[[#This Row],[Quantity]]*customer_project_data_500_rows[[#This Row],[Price]]</f>
        <v>171413.30000000002</v>
      </c>
    </row>
    <row r="231" spans="1:12" x14ac:dyDescent="0.3">
      <c r="A231">
        <v>1230</v>
      </c>
      <c r="B231" s="1" t="s">
        <v>260</v>
      </c>
      <c r="C231" s="1" t="s">
        <v>532</v>
      </c>
      <c r="D231">
        <v>22</v>
      </c>
      <c r="E231" s="1" t="s">
        <v>36</v>
      </c>
      <c r="F231" s="2">
        <v>45019</v>
      </c>
      <c r="G231" s="1" t="s">
        <v>25</v>
      </c>
      <c r="H231" s="1" t="s">
        <v>23</v>
      </c>
      <c r="I231">
        <v>3</v>
      </c>
      <c r="J231">
        <v>11408.16</v>
      </c>
      <c r="K231" s="1" t="s">
        <v>20</v>
      </c>
      <c r="L231" s="1">
        <f>customer_project_data_500_rows[[#This Row],[Quantity]]*customer_project_data_500_rows[[#This Row],[Price]]</f>
        <v>34224.479999999996</v>
      </c>
    </row>
    <row r="232" spans="1:12" x14ac:dyDescent="0.3">
      <c r="A232">
        <v>1231</v>
      </c>
      <c r="B232" s="1" t="s">
        <v>261</v>
      </c>
      <c r="C232" s="1" t="s">
        <v>531</v>
      </c>
      <c r="D232">
        <v>50</v>
      </c>
      <c r="E232" s="1" t="s">
        <v>36</v>
      </c>
      <c r="F232" s="2">
        <v>45523</v>
      </c>
      <c r="G232" s="1" t="s">
        <v>18</v>
      </c>
      <c r="H232" s="1" t="s">
        <v>14</v>
      </c>
      <c r="I232">
        <v>2</v>
      </c>
      <c r="J232">
        <v>24524.2</v>
      </c>
      <c r="K232" s="1" t="s">
        <v>26</v>
      </c>
      <c r="L232" s="1">
        <f>customer_project_data_500_rows[[#This Row],[Quantity]]*customer_project_data_500_rows[[#This Row],[Price]]</f>
        <v>49048.4</v>
      </c>
    </row>
    <row r="233" spans="1:12" x14ac:dyDescent="0.3">
      <c r="A233">
        <v>1232</v>
      </c>
      <c r="B233" s="1" t="s">
        <v>262</v>
      </c>
      <c r="C233" s="1" t="s">
        <v>42</v>
      </c>
      <c r="D233">
        <v>63</v>
      </c>
      <c r="E233" s="1" t="s">
        <v>17</v>
      </c>
      <c r="F233" s="2">
        <v>45383</v>
      </c>
      <c r="G233" s="1" t="s">
        <v>22</v>
      </c>
      <c r="H233" s="1" t="s">
        <v>19</v>
      </c>
      <c r="I233">
        <v>5</v>
      </c>
      <c r="J233">
        <v>49652.58</v>
      </c>
      <c r="K233" s="1" t="s">
        <v>15</v>
      </c>
      <c r="L233" s="1">
        <f>customer_project_data_500_rows[[#This Row],[Quantity]]*customer_project_data_500_rows[[#This Row],[Price]]</f>
        <v>248262.90000000002</v>
      </c>
    </row>
    <row r="234" spans="1:12" x14ac:dyDescent="0.3">
      <c r="A234">
        <v>1233</v>
      </c>
      <c r="B234" s="1" t="s">
        <v>263</v>
      </c>
      <c r="C234" s="1" t="s">
        <v>532</v>
      </c>
      <c r="D234">
        <v>42</v>
      </c>
      <c r="E234" s="1" t="s">
        <v>29</v>
      </c>
      <c r="F234" s="2">
        <v>45226</v>
      </c>
      <c r="G234" s="1" t="s">
        <v>22</v>
      </c>
      <c r="H234" s="1" t="s">
        <v>23</v>
      </c>
      <c r="I234">
        <v>4</v>
      </c>
      <c r="J234">
        <v>16545.98</v>
      </c>
      <c r="K234" s="1" t="s">
        <v>15</v>
      </c>
      <c r="L234" s="1">
        <f>customer_project_data_500_rows[[#This Row],[Quantity]]*customer_project_data_500_rows[[#This Row],[Price]]</f>
        <v>66183.92</v>
      </c>
    </row>
    <row r="235" spans="1:12" x14ac:dyDescent="0.3">
      <c r="A235">
        <v>1234</v>
      </c>
      <c r="B235" s="1" t="s">
        <v>264</v>
      </c>
      <c r="C235" s="1" t="s">
        <v>532</v>
      </c>
      <c r="D235">
        <v>56</v>
      </c>
      <c r="E235" s="1" t="s">
        <v>12</v>
      </c>
      <c r="F235" s="2">
        <v>45154</v>
      </c>
      <c r="G235" s="1" t="s">
        <v>25</v>
      </c>
      <c r="H235" s="1" t="s">
        <v>14</v>
      </c>
      <c r="I235">
        <v>3</v>
      </c>
      <c r="J235">
        <v>2250.42</v>
      </c>
      <c r="K235" s="1" t="s">
        <v>20</v>
      </c>
      <c r="L235" s="1">
        <f>customer_project_data_500_rows[[#This Row],[Quantity]]*customer_project_data_500_rows[[#This Row],[Price]]</f>
        <v>6751.26</v>
      </c>
    </row>
    <row r="236" spans="1:12" x14ac:dyDescent="0.3">
      <c r="A236">
        <v>1235</v>
      </c>
      <c r="B236" s="1" t="s">
        <v>265</v>
      </c>
      <c r="C236" s="1" t="s">
        <v>42</v>
      </c>
      <c r="D236">
        <v>60</v>
      </c>
      <c r="E236" s="1" t="s">
        <v>12</v>
      </c>
      <c r="F236" s="2">
        <v>45191</v>
      </c>
      <c r="G236" s="1" t="s">
        <v>18</v>
      </c>
      <c r="H236" s="1" t="s">
        <v>23</v>
      </c>
      <c r="I236">
        <v>1</v>
      </c>
      <c r="J236">
        <v>40958.910000000003</v>
      </c>
      <c r="K236" s="1" t="s">
        <v>20</v>
      </c>
      <c r="L236" s="1">
        <f>customer_project_data_500_rows[[#This Row],[Quantity]]*customer_project_data_500_rows[[#This Row],[Price]]</f>
        <v>40958.910000000003</v>
      </c>
    </row>
    <row r="237" spans="1:12" x14ac:dyDescent="0.3">
      <c r="A237">
        <v>1236</v>
      </c>
      <c r="B237" s="1" t="s">
        <v>266</v>
      </c>
      <c r="C237" s="1" t="s">
        <v>42</v>
      </c>
      <c r="D237">
        <v>43</v>
      </c>
      <c r="E237" s="1" t="s">
        <v>36</v>
      </c>
      <c r="F237" s="2">
        <v>45110</v>
      </c>
      <c r="G237" s="1" t="s">
        <v>34</v>
      </c>
      <c r="H237" s="1" t="s">
        <v>14</v>
      </c>
      <c r="I237">
        <v>1</v>
      </c>
      <c r="J237">
        <v>25413.69</v>
      </c>
      <c r="K237" s="1" t="s">
        <v>15</v>
      </c>
      <c r="L237" s="1">
        <f>customer_project_data_500_rows[[#This Row],[Quantity]]*customer_project_data_500_rows[[#This Row],[Price]]</f>
        <v>25413.69</v>
      </c>
    </row>
    <row r="238" spans="1:12" x14ac:dyDescent="0.3">
      <c r="A238">
        <v>1237</v>
      </c>
      <c r="B238" s="1" t="s">
        <v>267</v>
      </c>
      <c r="C238" s="1" t="s">
        <v>42</v>
      </c>
      <c r="D238">
        <v>50</v>
      </c>
      <c r="E238" s="1" t="s">
        <v>12</v>
      </c>
      <c r="F238" s="2">
        <v>45584</v>
      </c>
      <c r="G238" s="1" t="s">
        <v>34</v>
      </c>
      <c r="H238" s="1" t="s">
        <v>14</v>
      </c>
      <c r="I238">
        <v>3</v>
      </c>
      <c r="J238">
        <v>3112.8</v>
      </c>
      <c r="K238" s="1" t="s">
        <v>20</v>
      </c>
      <c r="L238" s="1">
        <f>customer_project_data_500_rows[[#This Row],[Quantity]]*customer_project_data_500_rows[[#This Row],[Price]]</f>
        <v>9338.4000000000015</v>
      </c>
    </row>
    <row r="239" spans="1:12" x14ac:dyDescent="0.3">
      <c r="A239">
        <v>1238</v>
      </c>
      <c r="B239" s="1" t="s">
        <v>268</v>
      </c>
      <c r="C239" s="1" t="s">
        <v>42</v>
      </c>
      <c r="D239">
        <v>58</v>
      </c>
      <c r="E239" s="1" t="s">
        <v>36</v>
      </c>
      <c r="F239" s="2">
        <v>45549</v>
      </c>
      <c r="G239" s="1" t="s">
        <v>34</v>
      </c>
      <c r="H239" s="1" t="s">
        <v>23</v>
      </c>
      <c r="I239">
        <v>3</v>
      </c>
      <c r="J239">
        <v>44570.1</v>
      </c>
      <c r="K239" s="1" t="s">
        <v>15</v>
      </c>
      <c r="L239" s="1">
        <f>customer_project_data_500_rows[[#This Row],[Quantity]]*customer_project_data_500_rows[[#This Row],[Price]]</f>
        <v>133710.29999999999</v>
      </c>
    </row>
    <row r="240" spans="1:12" x14ac:dyDescent="0.3">
      <c r="A240">
        <v>1239</v>
      </c>
      <c r="B240" s="1" t="s">
        <v>269</v>
      </c>
      <c r="C240" s="1" t="s">
        <v>531</v>
      </c>
      <c r="D240">
        <v>51</v>
      </c>
      <c r="E240" s="1" t="s">
        <v>29</v>
      </c>
      <c r="F240" s="2">
        <v>44987</v>
      </c>
      <c r="G240" s="1" t="s">
        <v>25</v>
      </c>
      <c r="H240" s="1" t="s">
        <v>19</v>
      </c>
      <c r="I240">
        <v>5</v>
      </c>
      <c r="J240">
        <v>20523.46</v>
      </c>
      <c r="K240" s="1" t="s">
        <v>20</v>
      </c>
      <c r="L240" s="1">
        <f>customer_project_data_500_rows[[#This Row],[Quantity]]*customer_project_data_500_rows[[#This Row],[Price]]</f>
        <v>102617.29999999999</v>
      </c>
    </row>
    <row r="241" spans="1:12" x14ac:dyDescent="0.3">
      <c r="A241">
        <v>1240</v>
      </c>
      <c r="B241" s="1" t="s">
        <v>270</v>
      </c>
      <c r="C241" s="1" t="s">
        <v>42</v>
      </c>
      <c r="D241">
        <v>24</v>
      </c>
      <c r="E241" s="1" t="s">
        <v>12</v>
      </c>
      <c r="F241" s="2">
        <v>45599</v>
      </c>
      <c r="G241" s="1" t="s">
        <v>25</v>
      </c>
      <c r="H241" s="1" t="s">
        <v>14</v>
      </c>
      <c r="I241">
        <v>1</v>
      </c>
      <c r="J241">
        <v>46499.02</v>
      </c>
      <c r="K241" s="1" t="s">
        <v>26</v>
      </c>
      <c r="L241" s="1">
        <f>customer_project_data_500_rows[[#This Row],[Quantity]]*customer_project_data_500_rows[[#This Row],[Price]]</f>
        <v>46499.02</v>
      </c>
    </row>
    <row r="242" spans="1:12" x14ac:dyDescent="0.3">
      <c r="A242">
        <v>1241</v>
      </c>
      <c r="B242" s="1" t="s">
        <v>271</v>
      </c>
      <c r="C242" s="1" t="s">
        <v>532</v>
      </c>
      <c r="D242">
        <v>19</v>
      </c>
      <c r="E242" s="1" t="s">
        <v>12</v>
      </c>
      <c r="F242" s="2">
        <v>45281</v>
      </c>
      <c r="G242" s="1" t="s">
        <v>18</v>
      </c>
      <c r="H242" s="1" t="s">
        <v>23</v>
      </c>
      <c r="I242">
        <v>2</v>
      </c>
      <c r="J242">
        <v>20402.87</v>
      </c>
      <c r="K242" s="1" t="s">
        <v>15</v>
      </c>
      <c r="L242" s="1">
        <f>customer_project_data_500_rows[[#This Row],[Quantity]]*customer_project_data_500_rows[[#This Row],[Price]]</f>
        <v>40805.74</v>
      </c>
    </row>
    <row r="243" spans="1:12" x14ac:dyDescent="0.3">
      <c r="A243">
        <v>1242</v>
      </c>
      <c r="B243" s="1" t="s">
        <v>272</v>
      </c>
      <c r="C243" s="1" t="s">
        <v>42</v>
      </c>
      <c r="D243">
        <v>49</v>
      </c>
      <c r="E243" s="1" t="s">
        <v>29</v>
      </c>
      <c r="F243" s="2">
        <v>45594</v>
      </c>
      <c r="G243" s="1" t="s">
        <v>25</v>
      </c>
      <c r="H243" s="1" t="s">
        <v>14</v>
      </c>
      <c r="I243">
        <v>3</v>
      </c>
      <c r="J243">
        <v>4303.2</v>
      </c>
      <c r="K243" s="1" t="s">
        <v>39</v>
      </c>
      <c r="L243" s="1">
        <f>customer_project_data_500_rows[[#This Row],[Quantity]]*customer_project_data_500_rows[[#This Row],[Price]]</f>
        <v>12909.599999999999</v>
      </c>
    </row>
    <row r="244" spans="1:12" x14ac:dyDescent="0.3">
      <c r="A244">
        <v>1243</v>
      </c>
      <c r="B244" s="1" t="s">
        <v>273</v>
      </c>
      <c r="C244" s="1" t="s">
        <v>532</v>
      </c>
      <c r="D244">
        <v>25</v>
      </c>
      <c r="E244" s="1" t="s">
        <v>32</v>
      </c>
      <c r="F244" s="2">
        <v>45406</v>
      </c>
      <c r="G244" s="1" t="s">
        <v>13</v>
      </c>
      <c r="H244" s="1" t="s">
        <v>23</v>
      </c>
      <c r="I244">
        <v>4</v>
      </c>
      <c r="J244">
        <v>12642.41</v>
      </c>
      <c r="K244" s="1" t="s">
        <v>26</v>
      </c>
      <c r="L244" s="1">
        <f>customer_project_data_500_rows[[#This Row],[Quantity]]*customer_project_data_500_rows[[#This Row],[Price]]</f>
        <v>50569.64</v>
      </c>
    </row>
    <row r="245" spans="1:12" x14ac:dyDescent="0.3">
      <c r="A245">
        <v>1244</v>
      </c>
      <c r="B245" s="1" t="s">
        <v>274</v>
      </c>
      <c r="C245" s="1" t="s">
        <v>532</v>
      </c>
      <c r="D245">
        <v>31</v>
      </c>
      <c r="E245" s="1" t="s">
        <v>12</v>
      </c>
      <c r="F245" s="2">
        <v>45363</v>
      </c>
      <c r="G245" s="1" t="s">
        <v>13</v>
      </c>
      <c r="H245" s="1" t="s">
        <v>14</v>
      </c>
      <c r="I245">
        <v>5</v>
      </c>
      <c r="J245">
        <v>17837.900000000001</v>
      </c>
      <c r="K245" s="1" t="s">
        <v>20</v>
      </c>
      <c r="L245" s="1">
        <f>customer_project_data_500_rows[[#This Row],[Quantity]]*customer_project_data_500_rows[[#This Row],[Price]]</f>
        <v>89189.5</v>
      </c>
    </row>
    <row r="246" spans="1:12" x14ac:dyDescent="0.3">
      <c r="A246">
        <v>1245</v>
      </c>
      <c r="B246" s="1" t="s">
        <v>275</v>
      </c>
      <c r="C246" s="1" t="s">
        <v>532</v>
      </c>
      <c r="D246">
        <v>21</v>
      </c>
      <c r="E246" s="1" t="s">
        <v>29</v>
      </c>
      <c r="F246" s="2">
        <v>45489</v>
      </c>
      <c r="G246" s="1" t="s">
        <v>18</v>
      </c>
      <c r="H246" s="1" t="s">
        <v>14</v>
      </c>
      <c r="I246">
        <v>2</v>
      </c>
      <c r="J246">
        <v>37661.050000000003</v>
      </c>
      <c r="K246" s="1" t="s">
        <v>15</v>
      </c>
      <c r="L246" s="1">
        <f>customer_project_data_500_rows[[#This Row],[Quantity]]*customer_project_data_500_rows[[#This Row],[Price]]</f>
        <v>75322.100000000006</v>
      </c>
    </row>
    <row r="247" spans="1:12" x14ac:dyDescent="0.3">
      <c r="A247">
        <v>1246</v>
      </c>
      <c r="B247" s="1" t="s">
        <v>276</v>
      </c>
      <c r="C247" s="1" t="s">
        <v>532</v>
      </c>
      <c r="D247">
        <v>46</v>
      </c>
      <c r="E247" s="1" t="s">
        <v>12</v>
      </c>
      <c r="F247" s="2">
        <v>45417</v>
      </c>
      <c r="G247" s="1" t="s">
        <v>30</v>
      </c>
      <c r="H247" s="1" t="s">
        <v>19</v>
      </c>
      <c r="I247">
        <v>2</v>
      </c>
      <c r="J247">
        <v>9645.0300000000007</v>
      </c>
      <c r="K247" s="1" t="s">
        <v>26</v>
      </c>
      <c r="L247" s="1">
        <f>customer_project_data_500_rows[[#This Row],[Quantity]]*customer_project_data_500_rows[[#This Row],[Price]]</f>
        <v>19290.060000000001</v>
      </c>
    </row>
    <row r="248" spans="1:12" x14ac:dyDescent="0.3">
      <c r="A248">
        <v>1247</v>
      </c>
      <c r="B248" s="1" t="s">
        <v>277</v>
      </c>
      <c r="C248" s="1" t="s">
        <v>531</v>
      </c>
      <c r="D248">
        <v>33</v>
      </c>
      <c r="E248" s="1" t="s">
        <v>36</v>
      </c>
      <c r="F248" s="2">
        <v>45307</v>
      </c>
      <c r="G248" s="1" t="s">
        <v>25</v>
      </c>
      <c r="H248" s="1" t="s">
        <v>23</v>
      </c>
      <c r="I248">
        <v>5</v>
      </c>
      <c r="J248">
        <v>21833.200000000001</v>
      </c>
      <c r="K248" s="1" t="s">
        <v>37</v>
      </c>
      <c r="L248" s="1">
        <f>customer_project_data_500_rows[[#This Row],[Quantity]]*customer_project_data_500_rows[[#This Row],[Price]]</f>
        <v>109166</v>
      </c>
    </row>
    <row r="249" spans="1:12" x14ac:dyDescent="0.3">
      <c r="A249">
        <v>1248</v>
      </c>
      <c r="B249" s="1" t="s">
        <v>278</v>
      </c>
      <c r="C249" s="1" t="s">
        <v>42</v>
      </c>
      <c r="D249">
        <v>47</v>
      </c>
      <c r="E249" s="1" t="s">
        <v>36</v>
      </c>
      <c r="F249" s="2">
        <v>45390</v>
      </c>
      <c r="G249" s="1" t="s">
        <v>18</v>
      </c>
      <c r="H249" s="1" t="s">
        <v>14</v>
      </c>
      <c r="I249">
        <v>5</v>
      </c>
      <c r="J249">
        <v>43725.65</v>
      </c>
      <c r="K249" s="1" t="s">
        <v>20</v>
      </c>
      <c r="L249" s="1">
        <f>customer_project_data_500_rows[[#This Row],[Quantity]]*customer_project_data_500_rows[[#This Row],[Price]]</f>
        <v>218628.25</v>
      </c>
    </row>
    <row r="250" spans="1:12" x14ac:dyDescent="0.3">
      <c r="A250">
        <v>1249</v>
      </c>
      <c r="B250" s="1" t="s">
        <v>279</v>
      </c>
      <c r="C250" s="1" t="s">
        <v>42</v>
      </c>
      <c r="D250">
        <v>20</v>
      </c>
      <c r="E250" s="1" t="s">
        <v>29</v>
      </c>
      <c r="F250" s="2">
        <v>45476</v>
      </c>
      <c r="G250" s="1" t="s">
        <v>34</v>
      </c>
      <c r="H250" s="1" t="s">
        <v>14</v>
      </c>
      <c r="I250">
        <v>5</v>
      </c>
      <c r="J250">
        <v>26921.17</v>
      </c>
      <c r="K250" s="1" t="s">
        <v>15</v>
      </c>
      <c r="L250" s="1">
        <f>customer_project_data_500_rows[[#This Row],[Quantity]]*customer_project_data_500_rows[[#This Row],[Price]]</f>
        <v>134605.84999999998</v>
      </c>
    </row>
    <row r="251" spans="1:12" x14ac:dyDescent="0.3">
      <c r="A251">
        <v>1250</v>
      </c>
      <c r="B251" s="1" t="s">
        <v>280</v>
      </c>
      <c r="C251" s="1" t="s">
        <v>531</v>
      </c>
      <c r="D251">
        <v>37</v>
      </c>
      <c r="E251" s="1" t="s">
        <v>12</v>
      </c>
      <c r="F251" s="2">
        <v>45111</v>
      </c>
      <c r="G251" s="1" t="s">
        <v>13</v>
      </c>
      <c r="H251" s="1" t="s">
        <v>23</v>
      </c>
      <c r="I251">
        <v>5</v>
      </c>
      <c r="J251">
        <v>5606.16</v>
      </c>
      <c r="K251" s="1" t="s">
        <v>37</v>
      </c>
      <c r="L251" s="1">
        <f>customer_project_data_500_rows[[#This Row],[Quantity]]*customer_project_data_500_rows[[#This Row],[Price]]</f>
        <v>28030.799999999999</v>
      </c>
    </row>
    <row r="252" spans="1:12" x14ac:dyDescent="0.3">
      <c r="A252">
        <v>1251</v>
      </c>
      <c r="B252" s="1" t="s">
        <v>281</v>
      </c>
      <c r="C252" s="1" t="s">
        <v>531</v>
      </c>
      <c r="D252">
        <v>50</v>
      </c>
      <c r="E252" s="1" t="s">
        <v>32</v>
      </c>
      <c r="F252" s="2">
        <v>45095</v>
      </c>
      <c r="G252" s="1" t="s">
        <v>34</v>
      </c>
      <c r="H252" s="1" t="s">
        <v>19</v>
      </c>
      <c r="I252">
        <v>4</v>
      </c>
      <c r="J252">
        <v>1713.86</v>
      </c>
      <c r="K252" s="1" t="s">
        <v>15</v>
      </c>
      <c r="L252" s="1">
        <f>customer_project_data_500_rows[[#This Row],[Quantity]]*customer_project_data_500_rows[[#This Row],[Price]]</f>
        <v>6855.44</v>
      </c>
    </row>
    <row r="253" spans="1:12" x14ac:dyDescent="0.3">
      <c r="A253">
        <v>1252</v>
      </c>
      <c r="B253" s="1" t="s">
        <v>282</v>
      </c>
      <c r="C253" s="1" t="s">
        <v>532</v>
      </c>
      <c r="D253">
        <v>36</v>
      </c>
      <c r="E253" s="1" t="s">
        <v>29</v>
      </c>
      <c r="F253" s="2">
        <v>45605</v>
      </c>
      <c r="G253" s="1" t="s">
        <v>22</v>
      </c>
      <c r="H253" s="1" t="s">
        <v>14</v>
      </c>
      <c r="I253">
        <v>1</v>
      </c>
      <c r="J253">
        <v>35437.589999999997</v>
      </c>
      <c r="K253" s="1" t="s">
        <v>26</v>
      </c>
      <c r="L253" s="1">
        <f>customer_project_data_500_rows[[#This Row],[Quantity]]*customer_project_data_500_rows[[#This Row],[Price]]</f>
        <v>35437.589999999997</v>
      </c>
    </row>
    <row r="254" spans="1:12" x14ac:dyDescent="0.3">
      <c r="A254">
        <v>1253</v>
      </c>
      <c r="B254" s="1" t="s">
        <v>283</v>
      </c>
      <c r="C254" s="1" t="s">
        <v>42</v>
      </c>
      <c r="D254">
        <v>58</v>
      </c>
      <c r="E254" s="1" t="s">
        <v>29</v>
      </c>
      <c r="F254" s="2">
        <v>45586</v>
      </c>
      <c r="G254" s="1" t="s">
        <v>25</v>
      </c>
      <c r="H254" s="1" t="s">
        <v>19</v>
      </c>
      <c r="I254">
        <v>5</v>
      </c>
      <c r="J254">
        <v>48966.81</v>
      </c>
      <c r="K254" s="1" t="s">
        <v>20</v>
      </c>
      <c r="L254" s="1">
        <f>customer_project_data_500_rows[[#This Row],[Quantity]]*customer_project_data_500_rows[[#This Row],[Price]]</f>
        <v>244834.05</v>
      </c>
    </row>
    <row r="255" spans="1:12" x14ac:dyDescent="0.3">
      <c r="A255">
        <v>1254</v>
      </c>
      <c r="B255" s="1" t="s">
        <v>284</v>
      </c>
      <c r="C255" s="1" t="s">
        <v>42</v>
      </c>
      <c r="D255">
        <v>52</v>
      </c>
      <c r="E255" s="1" t="s">
        <v>12</v>
      </c>
      <c r="F255" s="2">
        <v>45227</v>
      </c>
      <c r="G255" s="1" t="s">
        <v>25</v>
      </c>
      <c r="H255" s="1" t="s">
        <v>23</v>
      </c>
      <c r="I255">
        <v>3</v>
      </c>
      <c r="J255">
        <v>39365.68</v>
      </c>
      <c r="K255" s="1" t="s">
        <v>15</v>
      </c>
      <c r="L255" s="1">
        <f>customer_project_data_500_rows[[#This Row],[Quantity]]*customer_project_data_500_rows[[#This Row],[Price]]</f>
        <v>118097.04000000001</v>
      </c>
    </row>
    <row r="256" spans="1:12" x14ac:dyDescent="0.3">
      <c r="A256">
        <v>1255</v>
      </c>
      <c r="B256" s="1" t="s">
        <v>285</v>
      </c>
      <c r="C256" s="1" t="s">
        <v>42</v>
      </c>
      <c r="D256">
        <v>48</v>
      </c>
      <c r="E256" s="1" t="s">
        <v>17</v>
      </c>
      <c r="F256" s="2">
        <v>45075</v>
      </c>
      <c r="G256" s="1" t="s">
        <v>30</v>
      </c>
      <c r="H256" s="1" t="s">
        <v>14</v>
      </c>
      <c r="I256">
        <v>3</v>
      </c>
      <c r="J256">
        <v>38353.949999999997</v>
      </c>
      <c r="K256" s="1" t="s">
        <v>37</v>
      </c>
      <c r="L256" s="1">
        <f>customer_project_data_500_rows[[#This Row],[Quantity]]*customer_project_data_500_rows[[#This Row],[Price]]</f>
        <v>115061.84999999999</v>
      </c>
    </row>
    <row r="257" spans="1:12" x14ac:dyDescent="0.3">
      <c r="A257">
        <v>1256</v>
      </c>
      <c r="B257" s="1" t="s">
        <v>286</v>
      </c>
      <c r="C257" s="1" t="s">
        <v>532</v>
      </c>
      <c r="D257">
        <v>50</v>
      </c>
      <c r="E257" s="1" t="s">
        <v>12</v>
      </c>
      <c r="F257" s="2">
        <v>45502</v>
      </c>
      <c r="G257" s="1" t="s">
        <v>34</v>
      </c>
      <c r="H257" s="1" t="s">
        <v>14</v>
      </c>
      <c r="I257">
        <v>5</v>
      </c>
      <c r="J257">
        <v>33934.65</v>
      </c>
      <c r="K257" s="1" t="s">
        <v>37</v>
      </c>
      <c r="L257" s="1">
        <f>customer_project_data_500_rows[[#This Row],[Quantity]]*customer_project_data_500_rows[[#This Row],[Price]]</f>
        <v>169673.25</v>
      </c>
    </row>
    <row r="258" spans="1:12" x14ac:dyDescent="0.3">
      <c r="A258">
        <v>1257</v>
      </c>
      <c r="B258" s="1" t="s">
        <v>287</v>
      </c>
      <c r="C258" s="1" t="s">
        <v>42</v>
      </c>
      <c r="D258">
        <v>64</v>
      </c>
      <c r="E258" s="1" t="s">
        <v>32</v>
      </c>
      <c r="F258" s="2">
        <v>45076</v>
      </c>
      <c r="G258" s="1" t="s">
        <v>13</v>
      </c>
      <c r="H258" s="1" t="s">
        <v>19</v>
      </c>
      <c r="I258">
        <v>1</v>
      </c>
      <c r="J258">
        <v>39877.379999999997</v>
      </c>
      <c r="K258" s="1" t="s">
        <v>39</v>
      </c>
      <c r="L258" s="1">
        <f>customer_project_data_500_rows[[#This Row],[Quantity]]*customer_project_data_500_rows[[#This Row],[Price]]</f>
        <v>39877.379999999997</v>
      </c>
    </row>
    <row r="259" spans="1:12" x14ac:dyDescent="0.3">
      <c r="A259">
        <v>1258</v>
      </c>
      <c r="B259" s="1" t="s">
        <v>288</v>
      </c>
      <c r="C259" s="1" t="s">
        <v>42</v>
      </c>
      <c r="D259">
        <v>37</v>
      </c>
      <c r="E259" s="1" t="s">
        <v>12</v>
      </c>
      <c r="F259" s="2">
        <v>45379</v>
      </c>
      <c r="G259" s="1" t="s">
        <v>34</v>
      </c>
      <c r="H259" s="1" t="s">
        <v>23</v>
      </c>
      <c r="I259">
        <v>4</v>
      </c>
      <c r="J259">
        <v>2480.88</v>
      </c>
      <c r="K259" s="1" t="s">
        <v>26</v>
      </c>
      <c r="L259" s="1">
        <f>customer_project_data_500_rows[[#This Row],[Quantity]]*customer_project_data_500_rows[[#This Row],[Price]]</f>
        <v>9923.52</v>
      </c>
    </row>
    <row r="260" spans="1:12" x14ac:dyDescent="0.3">
      <c r="A260">
        <v>1259</v>
      </c>
      <c r="B260" s="1" t="s">
        <v>289</v>
      </c>
      <c r="C260" s="1" t="s">
        <v>531</v>
      </c>
      <c r="D260">
        <v>59</v>
      </c>
      <c r="E260" s="1" t="s">
        <v>29</v>
      </c>
      <c r="F260" s="2">
        <v>45147</v>
      </c>
      <c r="G260" s="1" t="s">
        <v>22</v>
      </c>
      <c r="H260" s="1" t="s">
        <v>19</v>
      </c>
      <c r="I260">
        <v>5</v>
      </c>
      <c r="J260">
        <v>13601.74</v>
      </c>
      <c r="K260" s="1" t="s">
        <v>20</v>
      </c>
      <c r="L260" s="1">
        <f>customer_project_data_500_rows[[#This Row],[Quantity]]*customer_project_data_500_rows[[#This Row],[Price]]</f>
        <v>68008.7</v>
      </c>
    </row>
    <row r="261" spans="1:12" x14ac:dyDescent="0.3">
      <c r="A261">
        <v>1260</v>
      </c>
      <c r="B261" s="1" t="s">
        <v>290</v>
      </c>
      <c r="C261" s="1" t="s">
        <v>532</v>
      </c>
      <c r="D261">
        <v>38</v>
      </c>
      <c r="E261" s="1" t="s">
        <v>36</v>
      </c>
      <c r="F261" s="2">
        <v>45300</v>
      </c>
      <c r="G261" s="1" t="s">
        <v>25</v>
      </c>
      <c r="H261" s="1" t="s">
        <v>14</v>
      </c>
      <c r="I261">
        <v>2</v>
      </c>
      <c r="J261">
        <v>34922.18</v>
      </c>
      <c r="K261" s="1" t="s">
        <v>15</v>
      </c>
      <c r="L261" s="1">
        <f>customer_project_data_500_rows[[#This Row],[Quantity]]*customer_project_data_500_rows[[#This Row],[Price]]</f>
        <v>69844.36</v>
      </c>
    </row>
    <row r="262" spans="1:12" x14ac:dyDescent="0.3">
      <c r="A262">
        <v>1261</v>
      </c>
      <c r="B262" s="1" t="s">
        <v>291</v>
      </c>
      <c r="C262" s="1" t="s">
        <v>532</v>
      </c>
      <c r="D262">
        <v>58</v>
      </c>
      <c r="E262" s="1" t="s">
        <v>32</v>
      </c>
      <c r="F262" s="2">
        <v>45073</v>
      </c>
      <c r="G262" s="1" t="s">
        <v>13</v>
      </c>
      <c r="H262" s="1" t="s">
        <v>23</v>
      </c>
      <c r="I262">
        <v>5</v>
      </c>
      <c r="J262">
        <v>43415.92</v>
      </c>
      <c r="K262" s="1" t="s">
        <v>20</v>
      </c>
      <c r="L262" s="1">
        <f>customer_project_data_500_rows[[#This Row],[Quantity]]*customer_project_data_500_rows[[#This Row],[Price]]</f>
        <v>217079.59999999998</v>
      </c>
    </row>
    <row r="263" spans="1:12" x14ac:dyDescent="0.3">
      <c r="A263">
        <v>1262</v>
      </c>
      <c r="B263" s="1" t="s">
        <v>292</v>
      </c>
      <c r="C263" s="1" t="s">
        <v>532</v>
      </c>
      <c r="D263">
        <v>64</v>
      </c>
      <c r="E263" s="1" t="s">
        <v>29</v>
      </c>
      <c r="F263" s="2">
        <v>44995</v>
      </c>
      <c r="G263" s="1" t="s">
        <v>34</v>
      </c>
      <c r="H263" s="1" t="s">
        <v>14</v>
      </c>
      <c r="I263">
        <v>1</v>
      </c>
      <c r="J263">
        <v>33893.040000000001</v>
      </c>
      <c r="K263" s="1" t="s">
        <v>20</v>
      </c>
      <c r="L263" s="1">
        <f>customer_project_data_500_rows[[#This Row],[Quantity]]*customer_project_data_500_rows[[#This Row],[Price]]</f>
        <v>33893.040000000001</v>
      </c>
    </row>
    <row r="264" spans="1:12" x14ac:dyDescent="0.3">
      <c r="A264">
        <v>1263</v>
      </c>
      <c r="B264" s="1" t="s">
        <v>293</v>
      </c>
      <c r="C264" s="1" t="s">
        <v>532</v>
      </c>
      <c r="D264">
        <v>22</v>
      </c>
      <c r="E264" s="1" t="s">
        <v>12</v>
      </c>
      <c r="F264" s="2">
        <v>45052</v>
      </c>
      <c r="G264" s="1" t="s">
        <v>22</v>
      </c>
      <c r="H264" s="1" t="s">
        <v>19</v>
      </c>
      <c r="I264">
        <v>1</v>
      </c>
      <c r="J264">
        <v>9225.67</v>
      </c>
      <c r="K264" s="1" t="s">
        <v>15</v>
      </c>
      <c r="L264" s="1">
        <f>customer_project_data_500_rows[[#This Row],[Quantity]]*customer_project_data_500_rows[[#This Row],[Price]]</f>
        <v>9225.67</v>
      </c>
    </row>
    <row r="265" spans="1:12" x14ac:dyDescent="0.3">
      <c r="A265">
        <v>1264</v>
      </c>
      <c r="B265" s="1" t="s">
        <v>294</v>
      </c>
      <c r="C265" s="1" t="s">
        <v>42</v>
      </c>
      <c r="D265">
        <v>27</v>
      </c>
      <c r="E265" s="1" t="s">
        <v>17</v>
      </c>
      <c r="F265" s="2">
        <v>45261</v>
      </c>
      <c r="G265" s="1" t="s">
        <v>25</v>
      </c>
      <c r="H265" s="1" t="s">
        <v>14</v>
      </c>
      <c r="I265">
        <v>2</v>
      </c>
      <c r="J265">
        <v>46847.27</v>
      </c>
      <c r="K265" s="1" t="s">
        <v>39</v>
      </c>
      <c r="L265" s="1">
        <f>customer_project_data_500_rows[[#This Row],[Quantity]]*customer_project_data_500_rows[[#This Row],[Price]]</f>
        <v>93694.54</v>
      </c>
    </row>
    <row r="266" spans="1:12" x14ac:dyDescent="0.3">
      <c r="A266">
        <v>1265</v>
      </c>
      <c r="B266" s="1" t="s">
        <v>295</v>
      </c>
      <c r="C266" s="1" t="s">
        <v>531</v>
      </c>
      <c r="D266">
        <v>18</v>
      </c>
      <c r="E266" s="1" t="s">
        <v>29</v>
      </c>
      <c r="F266" s="2">
        <v>44986</v>
      </c>
      <c r="G266" s="1" t="s">
        <v>22</v>
      </c>
      <c r="H266" s="1" t="s">
        <v>23</v>
      </c>
      <c r="I266">
        <v>5</v>
      </c>
      <c r="J266">
        <v>45217.25</v>
      </c>
      <c r="K266" s="1" t="s">
        <v>20</v>
      </c>
      <c r="L266" s="1">
        <f>customer_project_data_500_rows[[#This Row],[Quantity]]*customer_project_data_500_rows[[#This Row],[Price]]</f>
        <v>226086.25</v>
      </c>
    </row>
    <row r="267" spans="1:12" x14ac:dyDescent="0.3">
      <c r="A267">
        <v>1266</v>
      </c>
      <c r="B267" s="1" t="s">
        <v>296</v>
      </c>
      <c r="C267" s="1" t="s">
        <v>531</v>
      </c>
      <c r="D267">
        <v>44</v>
      </c>
      <c r="E267" s="1" t="s">
        <v>17</v>
      </c>
      <c r="F267" s="2">
        <v>45623</v>
      </c>
      <c r="G267" s="1" t="s">
        <v>13</v>
      </c>
      <c r="H267" s="1" t="s">
        <v>23</v>
      </c>
      <c r="I267">
        <v>2</v>
      </c>
      <c r="J267">
        <v>4790.6000000000004</v>
      </c>
      <c r="K267" s="1" t="s">
        <v>26</v>
      </c>
      <c r="L267" s="1">
        <f>customer_project_data_500_rows[[#This Row],[Quantity]]*customer_project_data_500_rows[[#This Row],[Price]]</f>
        <v>9581.2000000000007</v>
      </c>
    </row>
    <row r="268" spans="1:12" x14ac:dyDescent="0.3">
      <c r="A268">
        <v>1267</v>
      </c>
      <c r="B268" s="1" t="s">
        <v>297</v>
      </c>
      <c r="C268" s="1" t="s">
        <v>532</v>
      </c>
      <c r="D268">
        <v>39</v>
      </c>
      <c r="E268" s="1" t="s">
        <v>32</v>
      </c>
      <c r="F268" s="2">
        <v>45227</v>
      </c>
      <c r="G268" s="1" t="s">
        <v>25</v>
      </c>
      <c r="H268" s="1" t="s">
        <v>19</v>
      </c>
      <c r="I268">
        <v>2</v>
      </c>
      <c r="J268">
        <v>10053.5</v>
      </c>
      <c r="K268" s="1" t="s">
        <v>37</v>
      </c>
      <c r="L268" s="1">
        <f>customer_project_data_500_rows[[#This Row],[Quantity]]*customer_project_data_500_rows[[#This Row],[Price]]</f>
        <v>20107</v>
      </c>
    </row>
    <row r="269" spans="1:12" x14ac:dyDescent="0.3">
      <c r="A269">
        <v>1268</v>
      </c>
      <c r="B269" s="1" t="s">
        <v>298</v>
      </c>
      <c r="C269" s="1" t="s">
        <v>42</v>
      </c>
      <c r="D269">
        <v>28</v>
      </c>
      <c r="E269" s="1" t="s">
        <v>29</v>
      </c>
      <c r="F269" s="2">
        <v>45222</v>
      </c>
      <c r="G269" s="1" t="s">
        <v>13</v>
      </c>
      <c r="H269" s="1" t="s">
        <v>23</v>
      </c>
      <c r="I269">
        <v>1</v>
      </c>
      <c r="J269">
        <v>14122.06</v>
      </c>
      <c r="K269" s="1" t="s">
        <v>15</v>
      </c>
      <c r="L269" s="1">
        <f>customer_project_data_500_rows[[#This Row],[Quantity]]*customer_project_data_500_rows[[#This Row],[Price]]</f>
        <v>14122.06</v>
      </c>
    </row>
    <row r="270" spans="1:12" x14ac:dyDescent="0.3">
      <c r="A270">
        <v>1269</v>
      </c>
      <c r="B270" s="1" t="s">
        <v>299</v>
      </c>
      <c r="C270" s="1" t="s">
        <v>42</v>
      </c>
      <c r="D270">
        <v>39</v>
      </c>
      <c r="E270" s="1" t="s">
        <v>36</v>
      </c>
      <c r="F270" s="2">
        <v>45165</v>
      </c>
      <c r="G270" s="1" t="s">
        <v>34</v>
      </c>
      <c r="H270" s="1" t="s">
        <v>23</v>
      </c>
      <c r="I270">
        <v>4</v>
      </c>
      <c r="J270">
        <v>37051.39</v>
      </c>
      <c r="K270" s="1" t="s">
        <v>15</v>
      </c>
      <c r="L270" s="1">
        <f>customer_project_data_500_rows[[#This Row],[Quantity]]*customer_project_data_500_rows[[#This Row],[Price]]</f>
        <v>148205.56</v>
      </c>
    </row>
    <row r="271" spans="1:12" x14ac:dyDescent="0.3">
      <c r="A271">
        <v>1270</v>
      </c>
      <c r="B271" s="1" t="s">
        <v>300</v>
      </c>
      <c r="C271" s="1" t="s">
        <v>531</v>
      </c>
      <c r="D271">
        <v>51</v>
      </c>
      <c r="E271" s="1" t="s">
        <v>17</v>
      </c>
      <c r="F271" s="2">
        <v>45500</v>
      </c>
      <c r="G271" s="1" t="s">
        <v>30</v>
      </c>
      <c r="H271" s="1" t="s">
        <v>14</v>
      </c>
      <c r="I271">
        <v>1</v>
      </c>
      <c r="J271">
        <v>43038.98</v>
      </c>
      <c r="K271" s="1" t="s">
        <v>26</v>
      </c>
      <c r="L271" s="1">
        <f>customer_project_data_500_rows[[#This Row],[Quantity]]*customer_project_data_500_rows[[#This Row],[Price]]</f>
        <v>43038.98</v>
      </c>
    </row>
    <row r="272" spans="1:12" x14ac:dyDescent="0.3">
      <c r="A272">
        <v>1271</v>
      </c>
      <c r="B272" s="1" t="s">
        <v>301</v>
      </c>
      <c r="C272" s="1" t="s">
        <v>42</v>
      </c>
      <c r="D272">
        <v>56</v>
      </c>
      <c r="E272" s="1" t="s">
        <v>32</v>
      </c>
      <c r="F272" s="2">
        <v>45250</v>
      </c>
      <c r="G272" s="1" t="s">
        <v>22</v>
      </c>
      <c r="H272" s="1" t="s">
        <v>23</v>
      </c>
      <c r="I272">
        <v>2</v>
      </c>
      <c r="J272">
        <v>29126.959999999999</v>
      </c>
      <c r="K272" s="1" t="s">
        <v>39</v>
      </c>
      <c r="L272" s="1">
        <f>customer_project_data_500_rows[[#This Row],[Quantity]]*customer_project_data_500_rows[[#This Row],[Price]]</f>
        <v>58253.919999999998</v>
      </c>
    </row>
    <row r="273" spans="1:12" x14ac:dyDescent="0.3">
      <c r="A273">
        <v>1272</v>
      </c>
      <c r="B273" s="1" t="s">
        <v>302</v>
      </c>
      <c r="C273" s="1" t="s">
        <v>531</v>
      </c>
      <c r="D273">
        <v>55</v>
      </c>
      <c r="E273" s="1" t="s">
        <v>12</v>
      </c>
      <c r="F273" s="2">
        <v>45236</v>
      </c>
      <c r="G273" s="1" t="s">
        <v>13</v>
      </c>
      <c r="H273" s="1" t="s">
        <v>14</v>
      </c>
      <c r="I273">
        <v>3</v>
      </c>
      <c r="J273">
        <v>10382.459999999999</v>
      </c>
      <c r="K273" s="1" t="s">
        <v>26</v>
      </c>
      <c r="L273" s="1">
        <f>customer_project_data_500_rows[[#This Row],[Quantity]]*customer_project_data_500_rows[[#This Row],[Price]]</f>
        <v>31147.379999999997</v>
      </c>
    </row>
    <row r="274" spans="1:12" x14ac:dyDescent="0.3">
      <c r="A274">
        <v>1273</v>
      </c>
      <c r="B274" s="1" t="s">
        <v>303</v>
      </c>
      <c r="C274" s="1" t="s">
        <v>42</v>
      </c>
      <c r="D274">
        <v>61</v>
      </c>
      <c r="E274" s="1" t="s">
        <v>32</v>
      </c>
      <c r="F274" s="2">
        <v>45575</v>
      </c>
      <c r="G274" s="1" t="s">
        <v>13</v>
      </c>
      <c r="H274" s="1" t="s">
        <v>14</v>
      </c>
      <c r="I274">
        <v>5</v>
      </c>
      <c r="J274">
        <v>21046.95</v>
      </c>
      <c r="K274" s="1" t="s">
        <v>37</v>
      </c>
      <c r="L274" s="1">
        <f>customer_project_data_500_rows[[#This Row],[Quantity]]*customer_project_data_500_rows[[#This Row],[Price]]</f>
        <v>105234.75</v>
      </c>
    </row>
    <row r="275" spans="1:12" x14ac:dyDescent="0.3">
      <c r="A275">
        <v>1274</v>
      </c>
      <c r="B275" s="1" t="s">
        <v>304</v>
      </c>
      <c r="C275" s="1" t="s">
        <v>531</v>
      </c>
      <c r="D275">
        <v>57</v>
      </c>
      <c r="E275" s="1" t="s">
        <v>17</v>
      </c>
      <c r="F275" s="2">
        <v>45217</v>
      </c>
      <c r="G275" s="1" t="s">
        <v>18</v>
      </c>
      <c r="H275" s="1" t="s">
        <v>14</v>
      </c>
      <c r="I275">
        <v>1</v>
      </c>
      <c r="J275">
        <v>7324.03</v>
      </c>
      <c r="K275" s="1" t="s">
        <v>26</v>
      </c>
      <c r="L275" s="1">
        <f>customer_project_data_500_rows[[#This Row],[Quantity]]*customer_project_data_500_rows[[#This Row],[Price]]</f>
        <v>7324.03</v>
      </c>
    </row>
    <row r="276" spans="1:12" x14ac:dyDescent="0.3">
      <c r="A276">
        <v>1275</v>
      </c>
      <c r="B276" s="1" t="s">
        <v>305</v>
      </c>
      <c r="C276" s="1" t="s">
        <v>42</v>
      </c>
      <c r="D276">
        <v>51</v>
      </c>
      <c r="E276" s="1" t="s">
        <v>29</v>
      </c>
      <c r="F276" s="2">
        <v>44960</v>
      </c>
      <c r="G276" s="1" t="s">
        <v>18</v>
      </c>
      <c r="H276" s="1" t="s">
        <v>23</v>
      </c>
      <c r="I276">
        <v>2</v>
      </c>
      <c r="J276">
        <v>45911.11</v>
      </c>
      <c r="K276" s="1" t="s">
        <v>39</v>
      </c>
      <c r="L276" s="1">
        <f>customer_project_data_500_rows[[#This Row],[Quantity]]*customer_project_data_500_rows[[#This Row],[Price]]</f>
        <v>91822.22</v>
      </c>
    </row>
    <row r="277" spans="1:12" x14ac:dyDescent="0.3">
      <c r="A277">
        <v>1276</v>
      </c>
      <c r="B277" s="1" t="s">
        <v>306</v>
      </c>
      <c r="C277" s="1" t="s">
        <v>532</v>
      </c>
      <c r="D277">
        <v>49</v>
      </c>
      <c r="E277" s="1" t="s">
        <v>17</v>
      </c>
      <c r="F277" s="2">
        <v>45421</v>
      </c>
      <c r="G277" s="1" t="s">
        <v>22</v>
      </c>
      <c r="H277" s="1" t="s">
        <v>23</v>
      </c>
      <c r="I277">
        <v>5</v>
      </c>
      <c r="J277">
        <v>38344.28</v>
      </c>
      <c r="K277" s="1" t="s">
        <v>15</v>
      </c>
      <c r="L277" s="1">
        <f>customer_project_data_500_rows[[#This Row],[Quantity]]*customer_project_data_500_rows[[#This Row],[Price]]</f>
        <v>191721.4</v>
      </c>
    </row>
    <row r="278" spans="1:12" x14ac:dyDescent="0.3">
      <c r="A278">
        <v>1277</v>
      </c>
      <c r="B278" s="1" t="s">
        <v>307</v>
      </c>
      <c r="C278" s="1" t="s">
        <v>532</v>
      </c>
      <c r="D278">
        <v>59</v>
      </c>
      <c r="E278" s="1" t="s">
        <v>12</v>
      </c>
      <c r="F278" s="2">
        <v>45147</v>
      </c>
      <c r="G278" s="1" t="s">
        <v>30</v>
      </c>
      <c r="H278" s="1" t="s">
        <v>14</v>
      </c>
      <c r="I278">
        <v>4</v>
      </c>
      <c r="J278">
        <v>25755.58</v>
      </c>
      <c r="K278" s="1" t="s">
        <v>20</v>
      </c>
      <c r="L278" s="1">
        <f>customer_project_data_500_rows[[#This Row],[Quantity]]*customer_project_data_500_rows[[#This Row],[Price]]</f>
        <v>103022.32</v>
      </c>
    </row>
    <row r="279" spans="1:12" x14ac:dyDescent="0.3">
      <c r="A279">
        <v>1278</v>
      </c>
      <c r="B279" s="1" t="s">
        <v>308</v>
      </c>
      <c r="C279" s="1" t="s">
        <v>42</v>
      </c>
      <c r="D279">
        <v>25</v>
      </c>
      <c r="E279" s="1" t="s">
        <v>36</v>
      </c>
      <c r="F279" s="2">
        <v>45464</v>
      </c>
      <c r="G279" s="1" t="s">
        <v>18</v>
      </c>
      <c r="H279" s="1" t="s">
        <v>23</v>
      </c>
      <c r="I279">
        <v>4</v>
      </c>
      <c r="J279">
        <v>22951.96</v>
      </c>
      <c r="K279" s="1" t="s">
        <v>37</v>
      </c>
      <c r="L279" s="1">
        <f>customer_project_data_500_rows[[#This Row],[Quantity]]*customer_project_data_500_rows[[#This Row],[Price]]</f>
        <v>91807.84</v>
      </c>
    </row>
    <row r="280" spans="1:12" x14ac:dyDescent="0.3">
      <c r="A280">
        <v>1279</v>
      </c>
      <c r="B280" s="1" t="s">
        <v>309</v>
      </c>
      <c r="C280" s="1" t="s">
        <v>42</v>
      </c>
      <c r="D280">
        <v>23</v>
      </c>
      <c r="E280" s="1" t="s">
        <v>12</v>
      </c>
      <c r="F280" s="2">
        <v>44994</v>
      </c>
      <c r="G280" s="1" t="s">
        <v>34</v>
      </c>
      <c r="H280" s="1" t="s">
        <v>14</v>
      </c>
      <c r="I280">
        <v>1</v>
      </c>
      <c r="J280">
        <v>5343.18</v>
      </c>
      <c r="K280" s="1" t="s">
        <v>39</v>
      </c>
      <c r="L280" s="1">
        <f>customer_project_data_500_rows[[#This Row],[Quantity]]*customer_project_data_500_rows[[#This Row],[Price]]</f>
        <v>5343.18</v>
      </c>
    </row>
    <row r="281" spans="1:12" x14ac:dyDescent="0.3">
      <c r="A281">
        <v>1280</v>
      </c>
      <c r="B281" s="1" t="s">
        <v>310</v>
      </c>
      <c r="C281" s="1" t="s">
        <v>532</v>
      </c>
      <c r="D281">
        <v>24</v>
      </c>
      <c r="E281" s="1" t="s">
        <v>29</v>
      </c>
      <c r="F281" s="2">
        <v>45440</v>
      </c>
      <c r="G281" s="1" t="s">
        <v>30</v>
      </c>
      <c r="H281" s="1" t="s">
        <v>14</v>
      </c>
      <c r="I281">
        <v>1</v>
      </c>
      <c r="J281">
        <v>16274.43</v>
      </c>
      <c r="K281" s="1" t="s">
        <v>26</v>
      </c>
      <c r="L281" s="1">
        <f>customer_project_data_500_rows[[#This Row],[Quantity]]*customer_project_data_500_rows[[#This Row],[Price]]</f>
        <v>16274.43</v>
      </c>
    </row>
    <row r="282" spans="1:12" x14ac:dyDescent="0.3">
      <c r="A282">
        <v>1281</v>
      </c>
      <c r="B282" s="1" t="s">
        <v>311</v>
      </c>
      <c r="C282" s="1" t="s">
        <v>531</v>
      </c>
      <c r="D282">
        <v>41</v>
      </c>
      <c r="E282" s="1" t="s">
        <v>36</v>
      </c>
      <c r="F282" s="2">
        <v>45409</v>
      </c>
      <c r="G282" s="1" t="s">
        <v>18</v>
      </c>
      <c r="H282" s="1" t="s">
        <v>19</v>
      </c>
      <c r="I282">
        <v>1</v>
      </c>
      <c r="J282">
        <v>6471.32</v>
      </c>
      <c r="K282" s="1" t="s">
        <v>39</v>
      </c>
      <c r="L282" s="1">
        <f>customer_project_data_500_rows[[#This Row],[Quantity]]*customer_project_data_500_rows[[#This Row],[Price]]</f>
        <v>6471.32</v>
      </c>
    </row>
    <row r="283" spans="1:12" x14ac:dyDescent="0.3">
      <c r="A283">
        <v>1282</v>
      </c>
      <c r="B283" s="1" t="s">
        <v>312</v>
      </c>
      <c r="C283" s="1" t="s">
        <v>42</v>
      </c>
      <c r="D283">
        <v>40</v>
      </c>
      <c r="E283" s="1" t="s">
        <v>36</v>
      </c>
      <c r="F283" s="2">
        <v>45166</v>
      </c>
      <c r="G283" s="1" t="s">
        <v>30</v>
      </c>
      <c r="H283" s="1" t="s">
        <v>19</v>
      </c>
      <c r="I283">
        <v>3</v>
      </c>
      <c r="J283">
        <v>39225.730000000003</v>
      </c>
      <c r="K283" s="1" t="s">
        <v>20</v>
      </c>
      <c r="L283" s="1">
        <f>customer_project_data_500_rows[[#This Row],[Quantity]]*customer_project_data_500_rows[[#This Row],[Price]]</f>
        <v>117677.19</v>
      </c>
    </row>
    <row r="284" spans="1:12" x14ac:dyDescent="0.3">
      <c r="A284">
        <v>1283</v>
      </c>
      <c r="B284" s="1" t="s">
        <v>313</v>
      </c>
      <c r="C284" s="1" t="s">
        <v>532</v>
      </c>
      <c r="D284">
        <v>60</v>
      </c>
      <c r="E284" s="1" t="s">
        <v>32</v>
      </c>
      <c r="F284" s="2">
        <v>45272</v>
      </c>
      <c r="G284" s="1" t="s">
        <v>13</v>
      </c>
      <c r="H284" s="1" t="s">
        <v>19</v>
      </c>
      <c r="I284">
        <v>3</v>
      </c>
      <c r="J284">
        <v>27471.74</v>
      </c>
      <c r="K284" s="1" t="s">
        <v>39</v>
      </c>
      <c r="L284" s="1">
        <f>customer_project_data_500_rows[[#This Row],[Quantity]]*customer_project_data_500_rows[[#This Row],[Price]]</f>
        <v>82415.22</v>
      </c>
    </row>
    <row r="285" spans="1:12" x14ac:dyDescent="0.3">
      <c r="A285">
        <v>1284</v>
      </c>
      <c r="B285" s="1" t="s">
        <v>314</v>
      </c>
      <c r="C285" s="1" t="s">
        <v>42</v>
      </c>
      <c r="D285">
        <v>57</v>
      </c>
      <c r="E285" s="1" t="s">
        <v>17</v>
      </c>
      <c r="F285" s="2">
        <v>45560</v>
      </c>
      <c r="G285" s="1" t="s">
        <v>30</v>
      </c>
      <c r="H285" s="1" t="s">
        <v>14</v>
      </c>
      <c r="I285">
        <v>2</v>
      </c>
      <c r="J285">
        <v>11750.23</v>
      </c>
      <c r="K285" s="1" t="s">
        <v>15</v>
      </c>
      <c r="L285" s="1">
        <f>customer_project_data_500_rows[[#This Row],[Quantity]]*customer_project_data_500_rows[[#This Row],[Price]]</f>
        <v>23500.46</v>
      </c>
    </row>
    <row r="286" spans="1:12" x14ac:dyDescent="0.3">
      <c r="A286">
        <v>1285</v>
      </c>
      <c r="B286" s="1" t="s">
        <v>315</v>
      </c>
      <c r="C286" s="1" t="s">
        <v>532</v>
      </c>
      <c r="D286">
        <v>49</v>
      </c>
      <c r="E286" s="1" t="s">
        <v>29</v>
      </c>
      <c r="F286" s="2">
        <v>45340</v>
      </c>
      <c r="G286" s="1" t="s">
        <v>34</v>
      </c>
      <c r="H286" s="1" t="s">
        <v>19</v>
      </c>
      <c r="I286">
        <v>4</v>
      </c>
      <c r="J286">
        <v>11598.04</v>
      </c>
      <c r="K286" s="1" t="s">
        <v>37</v>
      </c>
      <c r="L286" s="1">
        <f>customer_project_data_500_rows[[#This Row],[Quantity]]*customer_project_data_500_rows[[#This Row],[Price]]</f>
        <v>46392.160000000003</v>
      </c>
    </row>
    <row r="287" spans="1:12" x14ac:dyDescent="0.3">
      <c r="A287">
        <v>1286</v>
      </c>
      <c r="B287" s="1" t="s">
        <v>316</v>
      </c>
      <c r="C287" s="1" t="s">
        <v>531</v>
      </c>
      <c r="D287">
        <v>55</v>
      </c>
      <c r="E287" s="1" t="s">
        <v>36</v>
      </c>
      <c r="F287" s="2">
        <v>45400</v>
      </c>
      <c r="G287" s="1" t="s">
        <v>13</v>
      </c>
      <c r="H287" s="1" t="s">
        <v>14</v>
      </c>
      <c r="I287">
        <v>3</v>
      </c>
      <c r="J287">
        <v>13389.71</v>
      </c>
      <c r="K287" s="1" t="s">
        <v>26</v>
      </c>
      <c r="L287" s="1">
        <f>customer_project_data_500_rows[[#This Row],[Quantity]]*customer_project_data_500_rows[[#This Row],[Price]]</f>
        <v>40169.129999999997</v>
      </c>
    </row>
    <row r="288" spans="1:12" x14ac:dyDescent="0.3">
      <c r="A288">
        <v>1287</v>
      </c>
      <c r="B288" s="1" t="s">
        <v>317</v>
      </c>
      <c r="C288" s="1" t="s">
        <v>532</v>
      </c>
      <c r="D288">
        <v>56</v>
      </c>
      <c r="E288" s="1" t="s">
        <v>17</v>
      </c>
      <c r="F288" s="2">
        <v>45179</v>
      </c>
      <c r="G288" s="1" t="s">
        <v>13</v>
      </c>
      <c r="H288" s="1" t="s">
        <v>14</v>
      </c>
      <c r="I288">
        <v>4</v>
      </c>
      <c r="J288">
        <v>15789.2</v>
      </c>
      <c r="K288" s="1" t="s">
        <v>20</v>
      </c>
      <c r="L288" s="1">
        <f>customer_project_data_500_rows[[#This Row],[Quantity]]*customer_project_data_500_rows[[#This Row],[Price]]</f>
        <v>63156.800000000003</v>
      </c>
    </row>
    <row r="289" spans="1:12" x14ac:dyDescent="0.3">
      <c r="A289">
        <v>1288</v>
      </c>
      <c r="B289" s="1" t="s">
        <v>318</v>
      </c>
      <c r="C289" s="1" t="s">
        <v>532</v>
      </c>
      <c r="D289">
        <v>41</v>
      </c>
      <c r="E289" s="1" t="s">
        <v>17</v>
      </c>
      <c r="F289" s="2">
        <v>45193</v>
      </c>
      <c r="G289" s="1" t="s">
        <v>18</v>
      </c>
      <c r="H289" s="1" t="s">
        <v>19</v>
      </c>
      <c r="I289">
        <v>4</v>
      </c>
      <c r="J289">
        <v>19691.400000000001</v>
      </c>
      <c r="K289" s="1" t="s">
        <v>26</v>
      </c>
      <c r="L289" s="1">
        <f>customer_project_data_500_rows[[#This Row],[Quantity]]*customer_project_data_500_rows[[#This Row],[Price]]</f>
        <v>78765.600000000006</v>
      </c>
    </row>
    <row r="290" spans="1:12" x14ac:dyDescent="0.3">
      <c r="A290">
        <v>1289</v>
      </c>
      <c r="B290" s="1" t="s">
        <v>319</v>
      </c>
      <c r="C290" s="1" t="s">
        <v>42</v>
      </c>
      <c r="D290">
        <v>46</v>
      </c>
      <c r="E290" s="1" t="s">
        <v>17</v>
      </c>
      <c r="F290" s="2">
        <v>45372</v>
      </c>
      <c r="G290" s="1" t="s">
        <v>25</v>
      </c>
      <c r="H290" s="1" t="s">
        <v>14</v>
      </c>
      <c r="I290">
        <v>3</v>
      </c>
      <c r="J290">
        <v>15228.67</v>
      </c>
      <c r="K290" s="1" t="s">
        <v>39</v>
      </c>
      <c r="L290" s="1">
        <f>customer_project_data_500_rows[[#This Row],[Quantity]]*customer_project_data_500_rows[[#This Row],[Price]]</f>
        <v>45686.01</v>
      </c>
    </row>
    <row r="291" spans="1:12" x14ac:dyDescent="0.3">
      <c r="A291">
        <v>1290</v>
      </c>
      <c r="B291" s="1" t="s">
        <v>320</v>
      </c>
      <c r="C291" s="1" t="s">
        <v>532</v>
      </c>
      <c r="D291">
        <v>54</v>
      </c>
      <c r="E291" s="1" t="s">
        <v>29</v>
      </c>
      <c r="F291" s="2">
        <v>45071</v>
      </c>
      <c r="G291" s="1" t="s">
        <v>30</v>
      </c>
      <c r="H291" s="1" t="s">
        <v>23</v>
      </c>
      <c r="I291">
        <v>5</v>
      </c>
      <c r="J291">
        <v>34138.019999999997</v>
      </c>
      <c r="K291" s="1" t="s">
        <v>26</v>
      </c>
      <c r="L291" s="1">
        <f>customer_project_data_500_rows[[#This Row],[Quantity]]*customer_project_data_500_rows[[#This Row],[Price]]</f>
        <v>170690.09999999998</v>
      </c>
    </row>
    <row r="292" spans="1:12" x14ac:dyDescent="0.3">
      <c r="A292">
        <v>1291</v>
      </c>
      <c r="B292" s="1" t="s">
        <v>321</v>
      </c>
      <c r="C292" s="1" t="s">
        <v>42</v>
      </c>
      <c r="D292">
        <v>20</v>
      </c>
      <c r="E292" s="1" t="s">
        <v>12</v>
      </c>
      <c r="F292" s="2">
        <v>45518</v>
      </c>
      <c r="G292" s="1" t="s">
        <v>34</v>
      </c>
      <c r="H292" s="1" t="s">
        <v>23</v>
      </c>
      <c r="I292">
        <v>3</v>
      </c>
      <c r="J292">
        <v>2236.14</v>
      </c>
      <c r="K292" s="1" t="s">
        <v>20</v>
      </c>
      <c r="L292" s="1">
        <f>customer_project_data_500_rows[[#This Row],[Quantity]]*customer_project_data_500_rows[[#This Row],[Price]]</f>
        <v>6708.42</v>
      </c>
    </row>
    <row r="293" spans="1:12" x14ac:dyDescent="0.3">
      <c r="A293">
        <v>1292</v>
      </c>
      <c r="B293" s="1" t="s">
        <v>322</v>
      </c>
      <c r="C293" s="1" t="s">
        <v>531</v>
      </c>
      <c r="D293">
        <v>28</v>
      </c>
      <c r="E293" s="1" t="s">
        <v>17</v>
      </c>
      <c r="F293" s="2">
        <v>45055</v>
      </c>
      <c r="G293" s="1" t="s">
        <v>22</v>
      </c>
      <c r="H293" s="1" t="s">
        <v>23</v>
      </c>
      <c r="I293">
        <v>3</v>
      </c>
      <c r="J293">
        <v>16741.46</v>
      </c>
      <c r="K293" s="1" t="s">
        <v>15</v>
      </c>
      <c r="L293" s="1">
        <f>customer_project_data_500_rows[[#This Row],[Quantity]]*customer_project_data_500_rows[[#This Row],[Price]]</f>
        <v>50224.38</v>
      </c>
    </row>
    <row r="294" spans="1:12" x14ac:dyDescent="0.3">
      <c r="A294">
        <v>1293</v>
      </c>
      <c r="B294" s="1" t="s">
        <v>323</v>
      </c>
      <c r="C294" s="1" t="s">
        <v>42</v>
      </c>
      <c r="D294">
        <v>38</v>
      </c>
      <c r="E294" s="1" t="s">
        <v>32</v>
      </c>
      <c r="F294" s="2">
        <v>45085</v>
      </c>
      <c r="G294" s="1" t="s">
        <v>13</v>
      </c>
      <c r="H294" s="1" t="s">
        <v>23</v>
      </c>
      <c r="I294">
        <v>5</v>
      </c>
      <c r="J294">
        <v>37391.949999999997</v>
      </c>
      <c r="K294" s="1" t="s">
        <v>20</v>
      </c>
      <c r="L294" s="1">
        <f>customer_project_data_500_rows[[#This Row],[Quantity]]*customer_project_data_500_rows[[#This Row],[Price]]</f>
        <v>186959.75</v>
      </c>
    </row>
    <row r="295" spans="1:12" x14ac:dyDescent="0.3">
      <c r="A295">
        <v>1294</v>
      </c>
      <c r="B295" s="1" t="s">
        <v>324</v>
      </c>
      <c r="C295" s="1" t="s">
        <v>532</v>
      </c>
      <c r="D295">
        <v>18</v>
      </c>
      <c r="E295" s="1" t="s">
        <v>36</v>
      </c>
      <c r="F295" s="2">
        <v>45186</v>
      </c>
      <c r="G295" s="1" t="s">
        <v>30</v>
      </c>
      <c r="H295" s="1" t="s">
        <v>19</v>
      </c>
      <c r="I295">
        <v>5</v>
      </c>
      <c r="J295">
        <v>47169</v>
      </c>
      <c r="K295" s="1" t="s">
        <v>37</v>
      </c>
      <c r="L295" s="1">
        <f>customer_project_data_500_rows[[#This Row],[Quantity]]*customer_project_data_500_rows[[#This Row],[Price]]</f>
        <v>235845</v>
      </c>
    </row>
    <row r="296" spans="1:12" x14ac:dyDescent="0.3">
      <c r="A296">
        <v>1295</v>
      </c>
      <c r="B296" s="1" t="s">
        <v>325</v>
      </c>
      <c r="C296" s="1" t="s">
        <v>532</v>
      </c>
      <c r="D296">
        <v>34</v>
      </c>
      <c r="E296" s="1" t="s">
        <v>32</v>
      </c>
      <c r="F296" s="2">
        <v>45221</v>
      </c>
      <c r="G296" s="1" t="s">
        <v>30</v>
      </c>
      <c r="H296" s="1" t="s">
        <v>14</v>
      </c>
      <c r="I296">
        <v>2</v>
      </c>
      <c r="J296">
        <v>40235.26</v>
      </c>
      <c r="K296" s="1" t="s">
        <v>26</v>
      </c>
      <c r="L296" s="1">
        <f>customer_project_data_500_rows[[#This Row],[Quantity]]*customer_project_data_500_rows[[#This Row],[Price]]</f>
        <v>80470.52</v>
      </c>
    </row>
    <row r="297" spans="1:12" x14ac:dyDescent="0.3">
      <c r="A297">
        <v>1296</v>
      </c>
      <c r="B297" s="1" t="s">
        <v>326</v>
      </c>
      <c r="C297" s="1" t="s">
        <v>532</v>
      </c>
      <c r="D297">
        <v>48</v>
      </c>
      <c r="E297" s="1" t="s">
        <v>17</v>
      </c>
      <c r="F297" s="2">
        <v>45049</v>
      </c>
      <c r="G297" s="1" t="s">
        <v>30</v>
      </c>
      <c r="H297" s="1" t="s">
        <v>19</v>
      </c>
      <c r="I297">
        <v>5</v>
      </c>
      <c r="J297">
        <v>12420.9</v>
      </c>
      <c r="K297" s="1" t="s">
        <v>37</v>
      </c>
      <c r="L297" s="1">
        <f>customer_project_data_500_rows[[#This Row],[Quantity]]*customer_project_data_500_rows[[#This Row],[Price]]</f>
        <v>62104.5</v>
      </c>
    </row>
    <row r="298" spans="1:12" x14ac:dyDescent="0.3">
      <c r="A298">
        <v>1297</v>
      </c>
      <c r="B298" s="1" t="s">
        <v>327</v>
      </c>
      <c r="C298" s="1" t="s">
        <v>532</v>
      </c>
      <c r="D298">
        <v>21</v>
      </c>
      <c r="E298" s="1" t="s">
        <v>12</v>
      </c>
      <c r="F298" s="2">
        <v>44994</v>
      </c>
      <c r="G298" s="1" t="s">
        <v>18</v>
      </c>
      <c r="H298" s="1" t="s">
        <v>14</v>
      </c>
      <c r="I298">
        <v>5</v>
      </c>
      <c r="J298">
        <v>12029.32</v>
      </c>
      <c r="K298" s="1" t="s">
        <v>37</v>
      </c>
      <c r="L298" s="1">
        <f>customer_project_data_500_rows[[#This Row],[Quantity]]*customer_project_data_500_rows[[#This Row],[Price]]</f>
        <v>60146.6</v>
      </c>
    </row>
    <row r="299" spans="1:12" x14ac:dyDescent="0.3">
      <c r="A299">
        <v>1298</v>
      </c>
      <c r="B299" s="1" t="s">
        <v>328</v>
      </c>
      <c r="C299" s="1" t="s">
        <v>42</v>
      </c>
      <c r="D299">
        <v>32</v>
      </c>
      <c r="E299" s="1" t="s">
        <v>36</v>
      </c>
      <c r="F299" s="2">
        <v>45085</v>
      </c>
      <c r="G299" s="1" t="s">
        <v>34</v>
      </c>
      <c r="H299" s="1" t="s">
        <v>23</v>
      </c>
      <c r="I299">
        <v>3</v>
      </c>
      <c r="J299">
        <v>9921.67</v>
      </c>
      <c r="K299" s="1" t="s">
        <v>15</v>
      </c>
      <c r="L299" s="1">
        <f>customer_project_data_500_rows[[#This Row],[Quantity]]*customer_project_data_500_rows[[#This Row],[Price]]</f>
        <v>29765.010000000002</v>
      </c>
    </row>
    <row r="300" spans="1:12" x14ac:dyDescent="0.3">
      <c r="A300">
        <v>1299</v>
      </c>
      <c r="B300" s="1" t="s">
        <v>329</v>
      </c>
      <c r="C300" s="1" t="s">
        <v>42</v>
      </c>
      <c r="D300">
        <v>62</v>
      </c>
      <c r="E300" s="1" t="s">
        <v>17</v>
      </c>
      <c r="F300" s="2">
        <v>45204</v>
      </c>
      <c r="G300" s="1" t="s">
        <v>13</v>
      </c>
      <c r="H300" s="1" t="s">
        <v>19</v>
      </c>
      <c r="I300">
        <v>5</v>
      </c>
      <c r="J300">
        <v>44183.63</v>
      </c>
      <c r="K300" s="1" t="s">
        <v>37</v>
      </c>
      <c r="L300" s="1">
        <f>customer_project_data_500_rows[[#This Row],[Quantity]]*customer_project_data_500_rows[[#This Row],[Price]]</f>
        <v>220918.15</v>
      </c>
    </row>
    <row r="301" spans="1:12" x14ac:dyDescent="0.3">
      <c r="A301">
        <v>1300</v>
      </c>
      <c r="B301" s="1" t="s">
        <v>330</v>
      </c>
      <c r="C301" s="1" t="s">
        <v>532</v>
      </c>
      <c r="D301">
        <v>23</v>
      </c>
      <c r="E301" s="1" t="s">
        <v>36</v>
      </c>
      <c r="F301" s="2">
        <v>44953</v>
      </c>
      <c r="G301" s="1" t="s">
        <v>18</v>
      </c>
      <c r="H301" s="1" t="s">
        <v>23</v>
      </c>
      <c r="I301">
        <v>1</v>
      </c>
      <c r="J301">
        <v>12273.86</v>
      </c>
      <c r="K301" s="1" t="s">
        <v>20</v>
      </c>
      <c r="L301" s="1">
        <f>customer_project_data_500_rows[[#This Row],[Quantity]]*customer_project_data_500_rows[[#This Row],[Price]]</f>
        <v>12273.86</v>
      </c>
    </row>
    <row r="302" spans="1:12" x14ac:dyDescent="0.3">
      <c r="A302">
        <v>1301</v>
      </c>
      <c r="B302" s="1" t="s">
        <v>331</v>
      </c>
      <c r="C302" s="1" t="s">
        <v>42</v>
      </c>
      <c r="D302">
        <v>28</v>
      </c>
      <c r="E302" s="1" t="s">
        <v>12</v>
      </c>
      <c r="F302" s="2">
        <v>45449</v>
      </c>
      <c r="G302" s="1" t="s">
        <v>34</v>
      </c>
      <c r="H302" s="1" t="s">
        <v>14</v>
      </c>
      <c r="I302">
        <v>3</v>
      </c>
      <c r="J302">
        <v>38029.94</v>
      </c>
      <c r="K302" s="1" t="s">
        <v>26</v>
      </c>
      <c r="L302" s="1">
        <f>customer_project_data_500_rows[[#This Row],[Quantity]]*customer_project_data_500_rows[[#This Row],[Price]]</f>
        <v>114089.82</v>
      </c>
    </row>
    <row r="303" spans="1:12" x14ac:dyDescent="0.3">
      <c r="A303">
        <v>1302</v>
      </c>
      <c r="B303" s="1" t="s">
        <v>332</v>
      </c>
      <c r="C303" s="1" t="s">
        <v>531</v>
      </c>
      <c r="D303">
        <v>61</v>
      </c>
      <c r="E303" s="1" t="s">
        <v>32</v>
      </c>
      <c r="F303" s="2">
        <v>45475</v>
      </c>
      <c r="G303" s="1" t="s">
        <v>22</v>
      </c>
      <c r="H303" s="1" t="s">
        <v>23</v>
      </c>
      <c r="I303">
        <v>4</v>
      </c>
      <c r="J303">
        <v>13421.96</v>
      </c>
      <c r="K303" s="1" t="s">
        <v>26</v>
      </c>
      <c r="L303" s="1">
        <f>customer_project_data_500_rows[[#This Row],[Quantity]]*customer_project_data_500_rows[[#This Row],[Price]]</f>
        <v>53687.839999999997</v>
      </c>
    </row>
    <row r="304" spans="1:12" x14ac:dyDescent="0.3">
      <c r="A304">
        <v>1303</v>
      </c>
      <c r="B304" s="1" t="s">
        <v>333</v>
      </c>
      <c r="C304" s="1" t="s">
        <v>531</v>
      </c>
      <c r="D304">
        <v>64</v>
      </c>
      <c r="E304" s="1" t="s">
        <v>17</v>
      </c>
      <c r="F304" s="2">
        <v>45064</v>
      </c>
      <c r="G304" s="1" t="s">
        <v>25</v>
      </c>
      <c r="H304" s="1" t="s">
        <v>19</v>
      </c>
      <c r="I304">
        <v>4</v>
      </c>
      <c r="J304">
        <v>2137.5500000000002</v>
      </c>
      <c r="K304" s="1" t="s">
        <v>37</v>
      </c>
      <c r="L304" s="1">
        <f>customer_project_data_500_rows[[#This Row],[Quantity]]*customer_project_data_500_rows[[#This Row],[Price]]</f>
        <v>8550.2000000000007</v>
      </c>
    </row>
    <row r="305" spans="1:12" x14ac:dyDescent="0.3">
      <c r="A305">
        <v>1304</v>
      </c>
      <c r="B305" s="1" t="s">
        <v>334</v>
      </c>
      <c r="C305" s="1" t="s">
        <v>531</v>
      </c>
      <c r="D305">
        <v>45</v>
      </c>
      <c r="E305" s="1" t="s">
        <v>36</v>
      </c>
      <c r="F305" s="2">
        <v>45299</v>
      </c>
      <c r="G305" s="1" t="s">
        <v>30</v>
      </c>
      <c r="H305" s="1" t="s">
        <v>14</v>
      </c>
      <c r="I305">
        <v>2</v>
      </c>
      <c r="J305">
        <v>36805.660000000003</v>
      </c>
      <c r="K305" s="1" t="s">
        <v>39</v>
      </c>
      <c r="L305" s="1">
        <f>customer_project_data_500_rows[[#This Row],[Quantity]]*customer_project_data_500_rows[[#This Row],[Price]]</f>
        <v>73611.320000000007</v>
      </c>
    </row>
    <row r="306" spans="1:12" x14ac:dyDescent="0.3">
      <c r="A306">
        <v>1305</v>
      </c>
      <c r="B306" s="1" t="s">
        <v>335</v>
      </c>
      <c r="C306" s="1" t="s">
        <v>532</v>
      </c>
      <c r="D306">
        <v>51</v>
      </c>
      <c r="E306" s="1" t="s">
        <v>29</v>
      </c>
      <c r="F306" s="2">
        <v>45311</v>
      </c>
      <c r="G306" s="1" t="s">
        <v>13</v>
      </c>
      <c r="H306" s="1" t="s">
        <v>23</v>
      </c>
      <c r="I306">
        <v>1</v>
      </c>
      <c r="J306">
        <v>36446.99</v>
      </c>
      <c r="K306" s="1" t="s">
        <v>39</v>
      </c>
      <c r="L306" s="1">
        <f>customer_project_data_500_rows[[#This Row],[Quantity]]*customer_project_data_500_rows[[#This Row],[Price]]</f>
        <v>36446.99</v>
      </c>
    </row>
    <row r="307" spans="1:12" x14ac:dyDescent="0.3">
      <c r="A307">
        <v>1306</v>
      </c>
      <c r="B307" s="1" t="s">
        <v>336</v>
      </c>
      <c r="C307" s="1" t="s">
        <v>531</v>
      </c>
      <c r="D307">
        <v>26</v>
      </c>
      <c r="E307" s="1" t="s">
        <v>12</v>
      </c>
      <c r="F307" s="2">
        <v>44982</v>
      </c>
      <c r="G307" s="1" t="s">
        <v>22</v>
      </c>
      <c r="H307" s="1" t="s">
        <v>23</v>
      </c>
      <c r="I307">
        <v>2</v>
      </c>
      <c r="J307">
        <v>4903.4799999999996</v>
      </c>
      <c r="K307" s="1" t="s">
        <v>26</v>
      </c>
      <c r="L307" s="1">
        <f>customer_project_data_500_rows[[#This Row],[Quantity]]*customer_project_data_500_rows[[#This Row],[Price]]</f>
        <v>9806.9599999999991</v>
      </c>
    </row>
    <row r="308" spans="1:12" x14ac:dyDescent="0.3">
      <c r="A308">
        <v>1307</v>
      </c>
      <c r="B308" s="1" t="s">
        <v>337</v>
      </c>
      <c r="C308" s="1" t="s">
        <v>42</v>
      </c>
      <c r="D308">
        <v>22</v>
      </c>
      <c r="E308" s="1" t="s">
        <v>32</v>
      </c>
      <c r="F308" s="2">
        <v>45418</v>
      </c>
      <c r="G308" s="1" t="s">
        <v>25</v>
      </c>
      <c r="H308" s="1" t="s">
        <v>23</v>
      </c>
      <c r="I308">
        <v>5</v>
      </c>
      <c r="J308">
        <v>16671.71</v>
      </c>
      <c r="K308" s="1" t="s">
        <v>37</v>
      </c>
      <c r="L308" s="1">
        <f>customer_project_data_500_rows[[#This Row],[Quantity]]*customer_project_data_500_rows[[#This Row],[Price]]</f>
        <v>83358.549999999988</v>
      </c>
    </row>
    <row r="309" spans="1:12" x14ac:dyDescent="0.3">
      <c r="A309">
        <v>1308</v>
      </c>
      <c r="B309" s="1" t="s">
        <v>338</v>
      </c>
      <c r="C309" s="1" t="s">
        <v>531</v>
      </c>
      <c r="D309">
        <v>57</v>
      </c>
      <c r="E309" s="1" t="s">
        <v>29</v>
      </c>
      <c r="F309" s="2">
        <v>45548</v>
      </c>
      <c r="G309" s="1" t="s">
        <v>18</v>
      </c>
      <c r="H309" s="1" t="s">
        <v>19</v>
      </c>
      <c r="I309">
        <v>2</v>
      </c>
      <c r="J309">
        <v>47444.08</v>
      </c>
      <c r="K309" s="1" t="s">
        <v>39</v>
      </c>
      <c r="L309" s="1">
        <f>customer_project_data_500_rows[[#This Row],[Quantity]]*customer_project_data_500_rows[[#This Row],[Price]]</f>
        <v>94888.16</v>
      </c>
    </row>
    <row r="310" spans="1:12" x14ac:dyDescent="0.3">
      <c r="A310">
        <v>1309</v>
      </c>
      <c r="B310" s="1" t="s">
        <v>339</v>
      </c>
      <c r="C310" s="1" t="s">
        <v>42</v>
      </c>
      <c r="D310">
        <v>50</v>
      </c>
      <c r="E310" s="1" t="s">
        <v>12</v>
      </c>
      <c r="F310" s="2">
        <v>45508</v>
      </c>
      <c r="G310" s="1" t="s">
        <v>18</v>
      </c>
      <c r="H310" s="1" t="s">
        <v>14</v>
      </c>
      <c r="I310">
        <v>2</v>
      </c>
      <c r="J310">
        <v>8565.98</v>
      </c>
      <c r="K310" s="1" t="s">
        <v>37</v>
      </c>
      <c r="L310" s="1">
        <f>customer_project_data_500_rows[[#This Row],[Quantity]]*customer_project_data_500_rows[[#This Row],[Price]]</f>
        <v>17131.96</v>
      </c>
    </row>
    <row r="311" spans="1:12" x14ac:dyDescent="0.3">
      <c r="A311">
        <v>1310</v>
      </c>
      <c r="B311" s="1" t="s">
        <v>340</v>
      </c>
      <c r="C311" s="1" t="s">
        <v>42</v>
      </c>
      <c r="D311">
        <v>51</v>
      </c>
      <c r="E311" s="1" t="s">
        <v>36</v>
      </c>
      <c r="F311" s="2">
        <v>45193</v>
      </c>
      <c r="G311" s="1" t="s">
        <v>22</v>
      </c>
      <c r="H311" s="1" t="s">
        <v>14</v>
      </c>
      <c r="I311">
        <v>3</v>
      </c>
      <c r="J311">
        <v>4790.29</v>
      </c>
      <c r="K311" s="1" t="s">
        <v>37</v>
      </c>
      <c r="L311" s="1">
        <f>customer_project_data_500_rows[[#This Row],[Quantity]]*customer_project_data_500_rows[[#This Row],[Price]]</f>
        <v>14370.869999999999</v>
      </c>
    </row>
    <row r="312" spans="1:12" x14ac:dyDescent="0.3">
      <c r="A312">
        <v>1311</v>
      </c>
      <c r="B312" s="1" t="s">
        <v>341</v>
      </c>
      <c r="C312" s="1" t="s">
        <v>531</v>
      </c>
      <c r="D312">
        <v>25</v>
      </c>
      <c r="E312" s="1" t="s">
        <v>17</v>
      </c>
      <c r="F312" s="2">
        <v>45186</v>
      </c>
      <c r="G312" s="1" t="s">
        <v>13</v>
      </c>
      <c r="H312" s="1" t="s">
        <v>19</v>
      </c>
      <c r="I312">
        <v>3</v>
      </c>
      <c r="J312">
        <v>29932.89</v>
      </c>
      <c r="K312" s="1" t="s">
        <v>26</v>
      </c>
      <c r="L312" s="1">
        <f>customer_project_data_500_rows[[#This Row],[Quantity]]*customer_project_data_500_rows[[#This Row],[Price]]</f>
        <v>89798.67</v>
      </c>
    </row>
    <row r="313" spans="1:12" x14ac:dyDescent="0.3">
      <c r="A313">
        <v>1312</v>
      </c>
      <c r="B313" s="1" t="s">
        <v>342</v>
      </c>
      <c r="C313" s="1" t="s">
        <v>532</v>
      </c>
      <c r="D313">
        <v>51</v>
      </c>
      <c r="E313" s="1" t="s">
        <v>36</v>
      </c>
      <c r="F313" s="2">
        <v>45478</v>
      </c>
      <c r="G313" s="1" t="s">
        <v>25</v>
      </c>
      <c r="H313" s="1" t="s">
        <v>23</v>
      </c>
      <c r="I313">
        <v>1</v>
      </c>
      <c r="J313">
        <v>46584</v>
      </c>
      <c r="K313" s="1" t="s">
        <v>20</v>
      </c>
      <c r="L313" s="1">
        <f>customer_project_data_500_rows[[#This Row],[Quantity]]*customer_project_data_500_rows[[#This Row],[Price]]</f>
        <v>46584</v>
      </c>
    </row>
    <row r="314" spans="1:12" x14ac:dyDescent="0.3">
      <c r="A314">
        <v>1313</v>
      </c>
      <c r="B314" s="1" t="s">
        <v>343</v>
      </c>
      <c r="C314" s="1" t="s">
        <v>531</v>
      </c>
      <c r="D314">
        <v>32</v>
      </c>
      <c r="E314" s="1" t="s">
        <v>29</v>
      </c>
      <c r="F314" s="2">
        <v>45388</v>
      </c>
      <c r="G314" s="1" t="s">
        <v>18</v>
      </c>
      <c r="H314" s="1" t="s">
        <v>19</v>
      </c>
      <c r="I314">
        <v>3</v>
      </c>
      <c r="J314">
        <v>7122.03</v>
      </c>
      <c r="K314" s="1" t="s">
        <v>37</v>
      </c>
      <c r="L314" s="1">
        <f>customer_project_data_500_rows[[#This Row],[Quantity]]*customer_project_data_500_rows[[#This Row],[Price]]</f>
        <v>21366.09</v>
      </c>
    </row>
    <row r="315" spans="1:12" x14ac:dyDescent="0.3">
      <c r="A315">
        <v>1314</v>
      </c>
      <c r="B315" s="1" t="s">
        <v>344</v>
      </c>
      <c r="C315" s="1" t="s">
        <v>42</v>
      </c>
      <c r="D315">
        <v>31</v>
      </c>
      <c r="E315" s="1" t="s">
        <v>12</v>
      </c>
      <c r="F315" s="2">
        <v>44964</v>
      </c>
      <c r="G315" s="1" t="s">
        <v>34</v>
      </c>
      <c r="H315" s="1" t="s">
        <v>14</v>
      </c>
      <c r="I315">
        <v>5</v>
      </c>
      <c r="J315">
        <v>25894.11</v>
      </c>
      <c r="K315" s="1" t="s">
        <v>37</v>
      </c>
      <c r="L315" s="1">
        <f>customer_project_data_500_rows[[#This Row],[Quantity]]*customer_project_data_500_rows[[#This Row],[Price]]</f>
        <v>129470.55</v>
      </c>
    </row>
    <row r="316" spans="1:12" x14ac:dyDescent="0.3">
      <c r="A316">
        <v>1315</v>
      </c>
      <c r="B316" s="1" t="s">
        <v>345</v>
      </c>
      <c r="C316" s="1" t="s">
        <v>42</v>
      </c>
      <c r="D316">
        <v>61</v>
      </c>
      <c r="E316" s="1" t="s">
        <v>29</v>
      </c>
      <c r="F316" s="2">
        <v>45583</v>
      </c>
      <c r="G316" s="1" t="s">
        <v>18</v>
      </c>
      <c r="H316" s="1" t="s">
        <v>19</v>
      </c>
      <c r="I316">
        <v>3</v>
      </c>
      <c r="J316">
        <v>34357.96</v>
      </c>
      <c r="K316" s="1" t="s">
        <v>20</v>
      </c>
      <c r="L316" s="1">
        <f>customer_project_data_500_rows[[#This Row],[Quantity]]*customer_project_data_500_rows[[#This Row],[Price]]</f>
        <v>103073.88</v>
      </c>
    </row>
    <row r="317" spans="1:12" x14ac:dyDescent="0.3">
      <c r="A317">
        <v>1316</v>
      </c>
      <c r="B317" s="1" t="s">
        <v>346</v>
      </c>
      <c r="C317" s="1" t="s">
        <v>532</v>
      </c>
      <c r="D317">
        <v>39</v>
      </c>
      <c r="E317" s="1" t="s">
        <v>32</v>
      </c>
      <c r="F317" s="2">
        <v>45208</v>
      </c>
      <c r="G317" s="1" t="s">
        <v>34</v>
      </c>
      <c r="H317" s="1" t="s">
        <v>19</v>
      </c>
      <c r="I317">
        <v>3</v>
      </c>
      <c r="J317">
        <v>9005.57</v>
      </c>
      <c r="K317" s="1" t="s">
        <v>15</v>
      </c>
      <c r="L317" s="1">
        <f>customer_project_data_500_rows[[#This Row],[Quantity]]*customer_project_data_500_rows[[#This Row],[Price]]</f>
        <v>27016.71</v>
      </c>
    </row>
    <row r="318" spans="1:12" x14ac:dyDescent="0.3">
      <c r="A318">
        <v>1317</v>
      </c>
      <c r="B318" s="1" t="s">
        <v>347</v>
      </c>
      <c r="C318" s="1" t="s">
        <v>532</v>
      </c>
      <c r="D318">
        <v>54</v>
      </c>
      <c r="E318" s="1" t="s">
        <v>32</v>
      </c>
      <c r="F318" s="2">
        <v>45318</v>
      </c>
      <c r="G318" s="1" t="s">
        <v>30</v>
      </c>
      <c r="H318" s="1" t="s">
        <v>19</v>
      </c>
      <c r="I318">
        <v>3</v>
      </c>
      <c r="J318">
        <v>1057.3599999999999</v>
      </c>
      <c r="K318" s="1" t="s">
        <v>37</v>
      </c>
      <c r="L318" s="1">
        <f>customer_project_data_500_rows[[#This Row],[Quantity]]*customer_project_data_500_rows[[#This Row],[Price]]</f>
        <v>3172.08</v>
      </c>
    </row>
    <row r="319" spans="1:12" x14ac:dyDescent="0.3">
      <c r="A319">
        <v>1318</v>
      </c>
      <c r="B319" s="1" t="s">
        <v>348</v>
      </c>
      <c r="C319" s="1" t="s">
        <v>532</v>
      </c>
      <c r="D319">
        <v>30</v>
      </c>
      <c r="E319" s="1" t="s">
        <v>36</v>
      </c>
      <c r="F319" s="2">
        <v>45354</v>
      </c>
      <c r="G319" s="1" t="s">
        <v>22</v>
      </c>
      <c r="H319" s="1" t="s">
        <v>19</v>
      </c>
      <c r="I319">
        <v>3</v>
      </c>
      <c r="J319">
        <v>44440.31</v>
      </c>
      <c r="K319" s="1" t="s">
        <v>15</v>
      </c>
      <c r="L319" s="1">
        <f>customer_project_data_500_rows[[#This Row],[Quantity]]*customer_project_data_500_rows[[#This Row],[Price]]</f>
        <v>133320.93</v>
      </c>
    </row>
    <row r="320" spans="1:12" x14ac:dyDescent="0.3">
      <c r="A320">
        <v>1319</v>
      </c>
      <c r="B320" s="1" t="s">
        <v>349</v>
      </c>
      <c r="C320" s="1" t="s">
        <v>42</v>
      </c>
      <c r="D320">
        <v>44</v>
      </c>
      <c r="E320" s="1" t="s">
        <v>32</v>
      </c>
      <c r="F320" s="2">
        <v>45567</v>
      </c>
      <c r="G320" s="1" t="s">
        <v>30</v>
      </c>
      <c r="H320" s="1" t="s">
        <v>19</v>
      </c>
      <c r="I320">
        <v>3</v>
      </c>
      <c r="J320">
        <v>2243.9499999999998</v>
      </c>
      <c r="K320" s="1" t="s">
        <v>37</v>
      </c>
      <c r="L320" s="1">
        <f>customer_project_data_500_rows[[#This Row],[Quantity]]*customer_project_data_500_rows[[#This Row],[Price]]</f>
        <v>6731.8499999999995</v>
      </c>
    </row>
    <row r="321" spans="1:12" x14ac:dyDescent="0.3">
      <c r="A321">
        <v>1320</v>
      </c>
      <c r="B321" s="1" t="s">
        <v>350</v>
      </c>
      <c r="C321" s="1" t="s">
        <v>532</v>
      </c>
      <c r="D321">
        <v>36</v>
      </c>
      <c r="E321" s="1" t="s">
        <v>12</v>
      </c>
      <c r="F321" s="2">
        <v>45325</v>
      </c>
      <c r="G321" s="1" t="s">
        <v>18</v>
      </c>
      <c r="H321" s="1" t="s">
        <v>14</v>
      </c>
      <c r="I321">
        <v>5</v>
      </c>
      <c r="J321">
        <v>13244.19</v>
      </c>
      <c r="K321" s="1" t="s">
        <v>26</v>
      </c>
      <c r="L321" s="1">
        <f>customer_project_data_500_rows[[#This Row],[Quantity]]*customer_project_data_500_rows[[#This Row],[Price]]</f>
        <v>66220.95</v>
      </c>
    </row>
    <row r="322" spans="1:12" x14ac:dyDescent="0.3">
      <c r="A322">
        <v>1321</v>
      </c>
      <c r="B322" s="1" t="s">
        <v>351</v>
      </c>
      <c r="C322" s="1" t="s">
        <v>531</v>
      </c>
      <c r="D322">
        <v>55</v>
      </c>
      <c r="E322" s="1" t="s">
        <v>12</v>
      </c>
      <c r="F322" s="2">
        <v>45494</v>
      </c>
      <c r="G322" s="1" t="s">
        <v>18</v>
      </c>
      <c r="H322" s="1" t="s">
        <v>19</v>
      </c>
      <c r="I322">
        <v>5</v>
      </c>
      <c r="J322">
        <v>32758.36</v>
      </c>
      <c r="K322" s="1" t="s">
        <v>39</v>
      </c>
      <c r="L322" s="1">
        <f>customer_project_data_500_rows[[#This Row],[Quantity]]*customer_project_data_500_rows[[#This Row],[Price]]</f>
        <v>163791.79999999999</v>
      </c>
    </row>
    <row r="323" spans="1:12" x14ac:dyDescent="0.3">
      <c r="A323">
        <v>1322</v>
      </c>
      <c r="B323" s="1" t="s">
        <v>352</v>
      </c>
      <c r="C323" s="1" t="s">
        <v>532</v>
      </c>
      <c r="D323">
        <v>53</v>
      </c>
      <c r="E323" s="1" t="s">
        <v>12</v>
      </c>
      <c r="F323" s="2">
        <v>45107</v>
      </c>
      <c r="G323" s="1" t="s">
        <v>30</v>
      </c>
      <c r="H323" s="1" t="s">
        <v>23</v>
      </c>
      <c r="I323">
        <v>3</v>
      </c>
      <c r="J323">
        <v>14646.26</v>
      </c>
      <c r="K323" s="1" t="s">
        <v>15</v>
      </c>
      <c r="L323" s="1">
        <f>customer_project_data_500_rows[[#This Row],[Quantity]]*customer_project_data_500_rows[[#This Row],[Price]]</f>
        <v>43938.78</v>
      </c>
    </row>
    <row r="324" spans="1:12" x14ac:dyDescent="0.3">
      <c r="A324">
        <v>1323</v>
      </c>
      <c r="B324" s="1" t="s">
        <v>353</v>
      </c>
      <c r="C324" s="1" t="s">
        <v>42</v>
      </c>
      <c r="D324">
        <v>30</v>
      </c>
      <c r="E324" s="1" t="s">
        <v>29</v>
      </c>
      <c r="F324" s="2">
        <v>45152</v>
      </c>
      <c r="G324" s="1" t="s">
        <v>13</v>
      </c>
      <c r="H324" s="1" t="s">
        <v>19</v>
      </c>
      <c r="I324">
        <v>4</v>
      </c>
      <c r="J324">
        <v>980.53</v>
      </c>
      <c r="K324" s="1" t="s">
        <v>26</v>
      </c>
      <c r="L324" s="1">
        <f>customer_project_data_500_rows[[#This Row],[Quantity]]*customer_project_data_500_rows[[#This Row],[Price]]</f>
        <v>3922.12</v>
      </c>
    </row>
    <row r="325" spans="1:12" x14ac:dyDescent="0.3">
      <c r="A325">
        <v>1324</v>
      </c>
      <c r="B325" s="1" t="s">
        <v>354</v>
      </c>
      <c r="C325" s="1" t="s">
        <v>42</v>
      </c>
      <c r="D325">
        <v>59</v>
      </c>
      <c r="E325" s="1" t="s">
        <v>17</v>
      </c>
      <c r="F325" s="2">
        <v>45165</v>
      </c>
      <c r="G325" s="1" t="s">
        <v>18</v>
      </c>
      <c r="H325" s="1" t="s">
        <v>19</v>
      </c>
      <c r="I325">
        <v>2</v>
      </c>
      <c r="J325">
        <v>28984.87</v>
      </c>
      <c r="K325" s="1" t="s">
        <v>37</v>
      </c>
      <c r="L325" s="1">
        <f>customer_project_data_500_rows[[#This Row],[Quantity]]*customer_project_data_500_rows[[#This Row],[Price]]</f>
        <v>57969.74</v>
      </c>
    </row>
    <row r="326" spans="1:12" x14ac:dyDescent="0.3">
      <c r="A326">
        <v>1325</v>
      </c>
      <c r="B326" s="1" t="s">
        <v>355</v>
      </c>
      <c r="C326" s="1" t="s">
        <v>532</v>
      </c>
      <c r="D326">
        <v>53</v>
      </c>
      <c r="E326" s="1" t="s">
        <v>17</v>
      </c>
      <c r="F326" s="2">
        <v>45179</v>
      </c>
      <c r="G326" s="1" t="s">
        <v>13</v>
      </c>
      <c r="H326" s="1" t="s">
        <v>14</v>
      </c>
      <c r="I326">
        <v>3</v>
      </c>
      <c r="J326">
        <v>15735.72</v>
      </c>
      <c r="K326" s="1" t="s">
        <v>15</v>
      </c>
      <c r="L326" s="1">
        <f>customer_project_data_500_rows[[#This Row],[Quantity]]*customer_project_data_500_rows[[#This Row],[Price]]</f>
        <v>47207.159999999996</v>
      </c>
    </row>
    <row r="327" spans="1:12" x14ac:dyDescent="0.3">
      <c r="A327">
        <v>1326</v>
      </c>
      <c r="B327" s="1" t="s">
        <v>356</v>
      </c>
      <c r="C327" s="1" t="s">
        <v>531</v>
      </c>
      <c r="D327">
        <v>43</v>
      </c>
      <c r="E327" s="1" t="s">
        <v>12</v>
      </c>
      <c r="F327" s="2">
        <v>44927</v>
      </c>
      <c r="G327" s="1" t="s">
        <v>30</v>
      </c>
      <c r="H327" s="1" t="s">
        <v>19</v>
      </c>
      <c r="I327">
        <v>2</v>
      </c>
      <c r="J327">
        <v>7999.95</v>
      </c>
      <c r="K327" s="1" t="s">
        <v>37</v>
      </c>
      <c r="L327" s="1">
        <f>customer_project_data_500_rows[[#This Row],[Quantity]]*customer_project_data_500_rows[[#This Row],[Price]]</f>
        <v>15999.9</v>
      </c>
    </row>
    <row r="328" spans="1:12" x14ac:dyDescent="0.3">
      <c r="A328">
        <v>1327</v>
      </c>
      <c r="B328" s="1" t="s">
        <v>357</v>
      </c>
      <c r="C328" s="1" t="s">
        <v>531</v>
      </c>
      <c r="D328">
        <v>55</v>
      </c>
      <c r="E328" s="1" t="s">
        <v>17</v>
      </c>
      <c r="F328" s="2">
        <v>45069</v>
      </c>
      <c r="G328" s="1" t="s">
        <v>13</v>
      </c>
      <c r="H328" s="1" t="s">
        <v>14</v>
      </c>
      <c r="I328">
        <v>2</v>
      </c>
      <c r="J328">
        <v>48578.52</v>
      </c>
      <c r="K328" s="1" t="s">
        <v>39</v>
      </c>
      <c r="L328" s="1">
        <f>customer_project_data_500_rows[[#This Row],[Quantity]]*customer_project_data_500_rows[[#This Row],[Price]]</f>
        <v>97157.04</v>
      </c>
    </row>
    <row r="329" spans="1:12" x14ac:dyDescent="0.3">
      <c r="A329">
        <v>1328</v>
      </c>
      <c r="B329" s="1" t="s">
        <v>358</v>
      </c>
      <c r="C329" s="1" t="s">
        <v>42</v>
      </c>
      <c r="D329">
        <v>19</v>
      </c>
      <c r="E329" s="1" t="s">
        <v>29</v>
      </c>
      <c r="F329" s="2">
        <v>45181</v>
      </c>
      <c r="G329" s="1" t="s">
        <v>25</v>
      </c>
      <c r="H329" s="1" t="s">
        <v>23</v>
      </c>
      <c r="I329">
        <v>1</v>
      </c>
      <c r="J329">
        <v>8666.1299999999992</v>
      </c>
      <c r="K329" s="1" t="s">
        <v>26</v>
      </c>
      <c r="L329" s="1">
        <f>customer_project_data_500_rows[[#This Row],[Quantity]]*customer_project_data_500_rows[[#This Row],[Price]]</f>
        <v>8666.1299999999992</v>
      </c>
    </row>
    <row r="330" spans="1:12" x14ac:dyDescent="0.3">
      <c r="A330">
        <v>1329</v>
      </c>
      <c r="B330" s="1" t="s">
        <v>359</v>
      </c>
      <c r="C330" s="1" t="s">
        <v>531</v>
      </c>
      <c r="D330">
        <v>62</v>
      </c>
      <c r="E330" s="1" t="s">
        <v>17</v>
      </c>
      <c r="F330" s="2">
        <v>45026</v>
      </c>
      <c r="G330" s="1" t="s">
        <v>13</v>
      </c>
      <c r="H330" s="1" t="s">
        <v>14</v>
      </c>
      <c r="I330">
        <v>1</v>
      </c>
      <c r="J330">
        <v>36498.15</v>
      </c>
      <c r="K330" s="1" t="s">
        <v>37</v>
      </c>
      <c r="L330" s="1">
        <f>customer_project_data_500_rows[[#This Row],[Quantity]]*customer_project_data_500_rows[[#This Row],[Price]]</f>
        <v>36498.15</v>
      </c>
    </row>
    <row r="331" spans="1:12" x14ac:dyDescent="0.3">
      <c r="A331">
        <v>1330</v>
      </c>
      <c r="B331" s="1" t="s">
        <v>360</v>
      </c>
      <c r="C331" s="1" t="s">
        <v>42</v>
      </c>
      <c r="D331">
        <v>59</v>
      </c>
      <c r="E331" s="1" t="s">
        <v>36</v>
      </c>
      <c r="F331" s="2">
        <v>45278</v>
      </c>
      <c r="G331" s="1" t="s">
        <v>22</v>
      </c>
      <c r="H331" s="1" t="s">
        <v>14</v>
      </c>
      <c r="I331">
        <v>5</v>
      </c>
      <c r="J331">
        <v>44590.85</v>
      </c>
      <c r="K331" s="1" t="s">
        <v>15</v>
      </c>
      <c r="L331" s="1">
        <f>customer_project_data_500_rows[[#This Row],[Quantity]]*customer_project_data_500_rows[[#This Row],[Price]]</f>
        <v>222954.25</v>
      </c>
    </row>
    <row r="332" spans="1:12" x14ac:dyDescent="0.3">
      <c r="A332">
        <v>1331</v>
      </c>
      <c r="B332" s="1" t="s">
        <v>361</v>
      </c>
      <c r="C332" s="1" t="s">
        <v>532</v>
      </c>
      <c r="D332">
        <v>61</v>
      </c>
      <c r="E332" s="1" t="s">
        <v>36</v>
      </c>
      <c r="F332" s="2">
        <v>45222</v>
      </c>
      <c r="G332" s="1" t="s">
        <v>18</v>
      </c>
      <c r="H332" s="1" t="s">
        <v>19</v>
      </c>
      <c r="I332">
        <v>1</v>
      </c>
      <c r="J332">
        <v>43006.400000000001</v>
      </c>
      <c r="K332" s="1" t="s">
        <v>26</v>
      </c>
      <c r="L332" s="1">
        <f>customer_project_data_500_rows[[#This Row],[Quantity]]*customer_project_data_500_rows[[#This Row],[Price]]</f>
        <v>43006.400000000001</v>
      </c>
    </row>
    <row r="333" spans="1:12" x14ac:dyDescent="0.3">
      <c r="A333">
        <v>1332</v>
      </c>
      <c r="B333" s="1" t="s">
        <v>362</v>
      </c>
      <c r="C333" s="1" t="s">
        <v>531</v>
      </c>
      <c r="D333">
        <v>18</v>
      </c>
      <c r="E333" s="1" t="s">
        <v>12</v>
      </c>
      <c r="F333" s="2">
        <v>45510</v>
      </c>
      <c r="G333" s="1" t="s">
        <v>34</v>
      </c>
      <c r="H333" s="1" t="s">
        <v>19</v>
      </c>
      <c r="I333">
        <v>4</v>
      </c>
      <c r="J333">
        <v>9620.7199999999993</v>
      </c>
      <c r="K333" s="1" t="s">
        <v>39</v>
      </c>
      <c r="L333" s="1">
        <f>customer_project_data_500_rows[[#This Row],[Quantity]]*customer_project_data_500_rows[[#This Row],[Price]]</f>
        <v>38482.879999999997</v>
      </c>
    </row>
    <row r="334" spans="1:12" x14ac:dyDescent="0.3">
      <c r="A334">
        <v>1333</v>
      </c>
      <c r="B334" s="1" t="s">
        <v>363</v>
      </c>
      <c r="C334" s="1" t="s">
        <v>531</v>
      </c>
      <c r="D334">
        <v>33</v>
      </c>
      <c r="E334" s="1" t="s">
        <v>12</v>
      </c>
      <c r="F334" s="2">
        <v>45583</v>
      </c>
      <c r="G334" s="1" t="s">
        <v>25</v>
      </c>
      <c r="H334" s="1" t="s">
        <v>19</v>
      </c>
      <c r="I334">
        <v>5</v>
      </c>
      <c r="J334">
        <v>12222.02</v>
      </c>
      <c r="K334" s="1" t="s">
        <v>20</v>
      </c>
      <c r="L334" s="1">
        <f>customer_project_data_500_rows[[#This Row],[Quantity]]*customer_project_data_500_rows[[#This Row],[Price]]</f>
        <v>61110.100000000006</v>
      </c>
    </row>
    <row r="335" spans="1:12" x14ac:dyDescent="0.3">
      <c r="A335">
        <v>1334</v>
      </c>
      <c r="B335" s="1" t="s">
        <v>364</v>
      </c>
      <c r="C335" s="1" t="s">
        <v>532</v>
      </c>
      <c r="D335">
        <v>46</v>
      </c>
      <c r="E335" s="1" t="s">
        <v>29</v>
      </c>
      <c r="F335" s="2">
        <v>45116</v>
      </c>
      <c r="G335" s="1" t="s">
        <v>18</v>
      </c>
      <c r="H335" s="1" t="s">
        <v>19</v>
      </c>
      <c r="I335">
        <v>4</v>
      </c>
      <c r="J335">
        <v>1408.95</v>
      </c>
      <c r="K335" s="1" t="s">
        <v>20</v>
      </c>
      <c r="L335" s="1">
        <f>customer_project_data_500_rows[[#This Row],[Quantity]]*customer_project_data_500_rows[[#This Row],[Price]]</f>
        <v>5635.8</v>
      </c>
    </row>
    <row r="336" spans="1:12" x14ac:dyDescent="0.3">
      <c r="A336">
        <v>1335</v>
      </c>
      <c r="B336" s="1" t="s">
        <v>365</v>
      </c>
      <c r="C336" s="1" t="s">
        <v>531</v>
      </c>
      <c r="D336">
        <v>58</v>
      </c>
      <c r="E336" s="1" t="s">
        <v>12</v>
      </c>
      <c r="F336" s="2">
        <v>44996</v>
      </c>
      <c r="G336" s="1" t="s">
        <v>30</v>
      </c>
      <c r="H336" s="1" t="s">
        <v>23</v>
      </c>
      <c r="I336">
        <v>4</v>
      </c>
      <c r="J336">
        <v>46604.57</v>
      </c>
      <c r="K336" s="1" t="s">
        <v>26</v>
      </c>
      <c r="L336" s="1">
        <f>customer_project_data_500_rows[[#This Row],[Quantity]]*customer_project_data_500_rows[[#This Row],[Price]]</f>
        <v>186418.28</v>
      </c>
    </row>
    <row r="337" spans="1:12" x14ac:dyDescent="0.3">
      <c r="A337">
        <v>1336</v>
      </c>
      <c r="B337" s="1" t="s">
        <v>366</v>
      </c>
      <c r="C337" s="1" t="s">
        <v>531</v>
      </c>
      <c r="D337">
        <v>24</v>
      </c>
      <c r="E337" s="1" t="s">
        <v>36</v>
      </c>
      <c r="F337" s="2">
        <v>45617</v>
      </c>
      <c r="G337" s="1" t="s">
        <v>18</v>
      </c>
      <c r="H337" s="1" t="s">
        <v>19</v>
      </c>
      <c r="I337">
        <v>3</v>
      </c>
      <c r="J337">
        <v>44412.5</v>
      </c>
      <c r="K337" s="1" t="s">
        <v>20</v>
      </c>
      <c r="L337" s="1">
        <f>customer_project_data_500_rows[[#This Row],[Quantity]]*customer_project_data_500_rows[[#This Row],[Price]]</f>
        <v>133237.5</v>
      </c>
    </row>
    <row r="338" spans="1:12" x14ac:dyDescent="0.3">
      <c r="A338">
        <v>1337</v>
      </c>
      <c r="B338" s="1" t="s">
        <v>367</v>
      </c>
      <c r="C338" s="1" t="s">
        <v>42</v>
      </c>
      <c r="D338">
        <v>50</v>
      </c>
      <c r="E338" s="1" t="s">
        <v>12</v>
      </c>
      <c r="F338" s="2">
        <v>45497</v>
      </c>
      <c r="G338" s="1" t="s">
        <v>34</v>
      </c>
      <c r="H338" s="1" t="s">
        <v>19</v>
      </c>
      <c r="I338">
        <v>1</v>
      </c>
      <c r="J338">
        <v>29975.58</v>
      </c>
      <c r="K338" s="1" t="s">
        <v>39</v>
      </c>
      <c r="L338" s="1">
        <f>customer_project_data_500_rows[[#This Row],[Quantity]]*customer_project_data_500_rows[[#This Row],[Price]]</f>
        <v>29975.58</v>
      </c>
    </row>
    <row r="339" spans="1:12" x14ac:dyDescent="0.3">
      <c r="A339">
        <v>1338</v>
      </c>
      <c r="B339" s="1" t="s">
        <v>368</v>
      </c>
      <c r="C339" s="1" t="s">
        <v>42</v>
      </c>
      <c r="D339">
        <v>44</v>
      </c>
      <c r="E339" s="1" t="s">
        <v>12</v>
      </c>
      <c r="F339" s="2">
        <v>45554</v>
      </c>
      <c r="G339" s="1" t="s">
        <v>18</v>
      </c>
      <c r="H339" s="1" t="s">
        <v>23</v>
      </c>
      <c r="I339">
        <v>3</v>
      </c>
      <c r="J339">
        <v>5913.7</v>
      </c>
      <c r="K339" s="1" t="s">
        <v>37</v>
      </c>
      <c r="L339" s="1">
        <f>customer_project_data_500_rows[[#This Row],[Quantity]]*customer_project_data_500_rows[[#This Row],[Price]]</f>
        <v>17741.099999999999</v>
      </c>
    </row>
    <row r="340" spans="1:12" x14ac:dyDescent="0.3">
      <c r="A340">
        <v>1339</v>
      </c>
      <c r="B340" s="1" t="s">
        <v>369</v>
      </c>
      <c r="C340" s="1" t="s">
        <v>532</v>
      </c>
      <c r="D340">
        <v>38</v>
      </c>
      <c r="E340" s="1" t="s">
        <v>36</v>
      </c>
      <c r="F340" s="2">
        <v>45390</v>
      </c>
      <c r="G340" s="1" t="s">
        <v>30</v>
      </c>
      <c r="H340" s="1" t="s">
        <v>14</v>
      </c>
      <c r="I340">
        <v>2</v>
      </c>
      <c r="J340">
        <v>9090.36</v>
      </c>
      <c r="K340" s="1" t="s">
        <v>39</v>
      </c>
      <c r="L340" s="1">
        <f>customer_project_data_500_rows[[#This Row],[Quantity]]*customer_project_data_500_rows[[#This Row],[Price]]</f>
        <v>18180.72</v>
      </c>
    </row>
    <row r="341" spans="1:12" x14ac:dyDescent="0.3">
      <c r="A341">
        <v>1340</v>
      </c>
      <c r="B341" s="1" t="s">
        <v>370</v>
      </c>
      <c r="C341" s="1" t="s">
        <v>42</v>
      </c>
      <c r="D341">
        <v>56</v>
      </c>
      <c r="E341" s="1" t="s">
        <v>32</v>
      </c>
      <c r="F341" s="2">
        <v>45004</v>
      </c>
      <c r="G341" s="1" t="s">
        <v>34</v>
      </c>
      <c r="H341" s="1" t="s">
        <v>23</v>
      </c>
      <c r="I341">
        <v>5</v>
      </c>
      <c r="J341">
        <v>29059.54</v>
      </c>
      <c r="K341" s="1" t="s">
        <v>20</v>
      </c>
      <c r="L341" s="1">
        <f>customer_project_data_500_rows[[#This Row],[Quantity]]*customer_project_data_500_rows[[#This Row],[Price]]</f>
        <v>145297.70000000001</v>
      </c>
    </row>
    <row r="342" spans="1:12" x14ac:dyDescent="0.3">
      <c r="A342">
        <v>1341</v>
      </c>
      <c r="B342" s="1" t="s">
        <v>371</v>
      </c>
      <c r="C342" s="1" t="s">
        <v>532</v>
      </c>
      <c r="D342">
        <v>19</v>
      </c>
      <c r="E342" s="1" t="s">
        <v>36</v>
      </c>
      <c r="F342" s="2">
        <v>45156</v>
      </c>
      <c r="G342" s="1" t="s">
        <v>13</v>
      </c>
      <c r="H342" s="1" t="s">
        <v>19</v>
      </c>
      <c r="I342">
        <v>5</v>
      </c>
      <c r="J342">
        <v>12957.02</v>
      </c>
      <c r="K342" s="1" t="s">
        <v>37</v>
      </c>
      <c r="L342" s="1">
        <f>customer_project_data_500_rows[[#This Row],[Quantity]]*customer_project_data_500_rows[[#This Row],[Price]]</f>
        <v>64785.100000000006</v>
      </c>
    </row>
    <row r="343" spans="1:12" x14ac:dyDescent="0.3">
      <c r="A343">
        <v>1342</v>
      </c>
      <c r="B343" s="1" t="s">
        <v>372</v>
      </c>
      <c r="C343" s="1" t="s">
        <v>42</v>
      </c>
      <c r="D343">
        <v>34</v>
      </c>
      <c r="E343" s="1" t="s">
        <v>32</v>
      </c>
      <c r="F343" s="2">
        <v>45450</v>
      </c>
      <c r="G343" s="1" t="s">
        <v>30</v>
      </c>
      <c r="H343" s="1" t="s">
        <v>14</v>
      </c>
      <c r="I343">
        <v>1</v>
      </c>
      <c r="J343">
        <v>15358.51</v>
      </c>
      <c r="K343" s="1" t="s">
        <v>37</v>
      </c>
      <c r="L343" s="1">
        <f>customer_project_data_500_rows[[#This Row],[Quantity]]*customer_project_data_500_rows[[#This Row],[Price]]</f>
        <v>15358.51</v>
      </c>
    </row>
    <row r="344" spans="1:12" x14ac:dyDescent="0.3">
      <c r="A344">
        <v>1343</v>
      </c>
      <c r="B344" s="1" t="s">
        <v>373</v>
      </c>
      <c r="C344" s="1" t="s">
        <v>532</v>
      </c>
      <c r="D344">
        <v>43</v>
      </c>
      <c r="E344" s="1" t="s">
        <v>32</v>
      </c>
      <c r="F344" s="2">
        <v>45518</v>
      </c>
      <c r="G344" s="1" t="s">
        <v>34</v>
      </c>
      <c r="H344" s="1" t="s">
        <v>19</v>
      </c>
      <c r="I344">
        <v>3</v>
      </c>
      <c r="J344">
        <v>8963.8700000000008</v>
      </c>
      <c r="K344" s="1" t="s">
        <v>20</v>
      </c>
      <c r="L344" s="1">
        <f>customer_project_data_500_rows[[#This Row],[Quantity]]*customer_project_data_500_rows[[#This Row],[Price]]</f>
        <v>26891.61</v>
      </c>
    </row>
    <row r="345" spans="1:12" x14ac:dyDescent="0.3">
      <c r="A345">
        <v>1344</v>
      </c>
      <c r="B345" s="1" t="s">
        <v>374</v>
      </c>
      <c r="C345" s="1" t="s">
        <v>42</v>
      </c>
      <c r="D345">
        <v>37</v>
      </c>
      <c r="E345" s="1" t="s">
        <v>32</v>
      </c>
      <c r="F345" s="2">
        <v>45150</v>
      </c>
      <c r="G345" s="1" t="s">
        <v>22</v>
      </c>
      <c r="H345" s="1" t="s">
        <v>14</v>
      </c>
      <c r="I345">
        <v>3</v>
      </c>
      <c r="J345">
        <v>9884.7900000000009</v>
      </c>
      <c r="K345" s="1" t="s">
        <v>26</v>
      </c>
      <c r="L345" s="1">
        <f>customer_project_data_500_rows[[#This Row],[Quantity]]*customer_project_data_500_rows[[#This Row],[Price]]</f>
        <v>29654.370000000003</v>
      </c>
    </row>
    <row r="346" spans="1:12" x14ac:dyDescent="0.3">
      <c r="A346">
        <v>1345</v>
      </c>
      <c r="B346" s="1" t="s">
        <v>375</v>
      </c>
      <c r="C346" s="1" t="s">
        <v>42</v>
      </c>
      <c r="D346">
        <v>48</v>
      </c>
      <c r="E346" s="1" t="s">
        <v>12</v>
      </c>
      <c r="F346" s="2">
        <v>45037</v>
      </c>
      <c r="G346" s="1" t="s">
        <v>13</v>
      </c>
      <c r="H346" s="1" t="s">
        <v>23</v>
      </c>
      <c r="I346">
        <v>2</v>
      </c>
      <c r="J346">
        <v>23439.35</v>
      </c>
      <c r="K346" s="1" t="s">
        <v>37</v>
      </c>
      <c r="L346" s="1">
        <f>customer_project_data_500_rows[[#This Row],[Quantity]]*customer_project_data_500_rows[[#This Row],[Price]]</f>
        <v>46878.7</v>
      </c>
    </row>
    <row r="347" spans="1:12" x14ac:dyDescent="0.3">
      <c r="A347">
        <v>1346</v>
      </c>
      <c r="B347" s="1" t="s">
        <v>376</v>
      </c>
      <c r="C347" s="1" t="s">
        <v>532</v>
      </c>
      <c r="D347">
        <v>18</v>
      </c>
      <c r="E347" s="1" t="s">
        <v>12</v>
      </c>
      <c r="F347" s="2">
        <v>45424</v>
      </c>
      <c r="G347" s="1" t="s">
        <v>13</v>
      </c>
      <c r="H347" s="1" t="s">
        <v>23</v>
      </c>
      <c r="I347">
        <v>4</v>
      </c>
      <c r="J347">
        <v>25738.76</v>
      </c>
      <c r="K347" s="1" t="s">
        <v>39</v>
      </c>
      <c r="L347" s="1">
        <f>customer_project_data_500_rows[[#This Row],[Quantity]]*customer_project_data_500_rows[[#This Row],[Price]]</f>
        <v>102955.04</v>
      </c>
    </row>
    <row r="348" spans="1:12" x14ac:dyDescent="0.3">
      <c r="A348">
        <v>1347</v>
      </c>
      <c r="B348" s="1" t="s">
        <v>377</v>
      </c>
      <c r="C348" s="1" t="s">
        <v>42</v>
      </c>
      <c r="D348">
        <v>60</v>
      </c>
      <c r="E348" s="1" t="s">
        <v>29</v>
      </c>
      <c r="F348" s="2">
        <v>45345</v>
      </c>
      <c r="G348" s="1" t="s">
        <v>22</v>
      </c>
      <c r="H348" s="1" t="s">
        <v>23</v>
      </c>
      <c r="I348">
        <v>1</v>
      </c>
      <c r="J348">
        <v>25823.200000000001</v>
      </c>
      <c r="K348" s="1" t="s">
        <v>20</v>
      </c>
      <c r="L348" s="1">
        <f>customer_project_data_500_rows[[#This Row],[Quantity]]*customer_project_data_500_rows[[#This Row],[Price]]</f>
        <v>25823.200000000001</v>
      </c>
    </row>
    <row r="349" spans="1:12" x14ac:dyDescent="0.3">
      <c r="A349">
        <v>1348</v>
      </c>
      <c r="B349" s="1" t="s">
        <v>378</v>
      </c>
      <c r="C349" s="1" t="s">
        <v>532</v>
      </c>
      <c r="D349">
        <v>39</v>
      </c>
      <c r="E349" s="1" t="s">
        <v>17</v>
      </c>
      <c r="F349" s="2">
        <v>45545</v>
      </c>
      <c r="G349" s="1" t="s">
        <v>25</v>
      </c>
      <c r="H349" s="1" t="s">
        <v>14</v>
      </c>
      <c r="I349">
        <v>3</v>
      </c>
      <c r="J349">
        <v>49858.37</v>
      </c>
      <c r="K349" s="1" t="s">
        <v>37</v>
      </c>
      <c r="L349" s="1">
        <f>customer_project_data_500_rows[[#This Row],[Quantity]]*customer_project_data_500_rows[[#This Row],[Price]]</f>
        <v>149575.11000000002</v>
      </c>
    </row>
    <row r="350" spans="1:12" x14ac:dyDescent="0.3">
      <c r="A350">
        <v>1349</v>
      </c>
      <c r="B350" s="1" t="s">
        <v>379</v>
      </c>
      <c r="C350" s="1" t="s">
        <v>42</v>
      </c>
      <c r="D350">
        <v>51</v>
      </c>
      <c r="E350" s="1" t="s">
        <v>32</v>
      </c>
      <c r="F350" s="2">
        <v>45177</v>
      </c>
      <c r="G350" s="1" t="s">
        <v>34</v>
      </c>
      <c r="H350" s="1" t="s">
        <v>23</v>
      </c>
      <c r="I350">
        <v>2</v>
      </c>
      <c r="J350">
        <v>6914.99</v>
      </c>
      <c r="K350" s="1" t="s">
        <v>20</v>
      </c>
      <c r="L350" s="1">
        <f>customer_project_data_500_rows[[#This Row],[Quantity]]*customer_project_data_500_rows[[#This Row],[Price]]</f>
        <v>13829.98</v>
      </c>
    </row>
    <row r="351" spans="1:12" x14ac:dyDescent="0.3">
      <c r="A351">
        <v>1350</v>
      </c>
      <c r="B351" s="1" t="s">
        <v>380</v>
      </c>
      <c r="C351" s="1" t="s">
        <v>532</v>
      </c>
      <c r="D351">
        <v>19</v>
      </c>
      <c r="E351" s="1" t="s">
        <v>36</v>
      </c>
      <c r="F351" s="2">
        <v>45140</v>
      </c>
      <c r="G351" s="1" t="s">
        <v>25</v>
      </c>
      <c r="H351" s="1" t="s">
        <v>19</v>
      </c>
      <c r="I351">
        <v>2</v>
      </c>
      <c r="J351">
        <v>37930.410000000003</v>
      </c>
      <c r="K351" s="1" t="s">
        <v>20</v>
      </c>
      <c r="L351" s="1">
        <f>customer_project_data_500_rows[[#This Row],[Quantity]]*customer_project_data_500_rows[[#This Row],[Price]]</f>
        <v>75860.820000000007</v>
      </c>
    </row>
    <row r="352" spans="1:12" x14ac:dyDescent="0.3">
      <c r="A352">
        <v>1351</v>
      </c>
      <c r="B352" s="1" t="s">
        <v>381</v>
      </c>
      <c r="C352" s="1" t="s">
        <v>531</v>
      </c>
      <c r="D352">
        <v>43</v>
      </c>
      <c r="E352" s="1" t="s">
        <v>32</v>
      </c>
      <c r="F352" s="2">
        <v>45611</v>
      </c>
      <c r="G352" s="1" t="s">
        <v>22</v>
      </c>
      <c r="H352" s="1" t="s">
        <v>19</v>
      </c>
      <c r="I352">
        <v>1</v>
      </c>
      <c r="J352">
        <v>39790.959999999999</v>
      </c>
      <c r="K352" s="1" t="s">
        <v>37</v>
      </c>
      <c r="L352" s="1">
        <f>customer_project_data_500_rows[[#This Row],[Quantity]]*customer_project_data_500_rows[[#This Row],[Price]]</f>
        <v>39790.959999999999</v>
      </c>
    </row>
    <row r="353" spans="1:12" x14ac:dyDescent="0.3">
      <c r="A353">
        <v>1352</v>
      </c>
      <c r="B353" s="1" t="s">
        <v>382</v>
      </c>
      <c r="C353" s="1" t="s">
        <v>42</v>
      </c>
      <c r="D353">
        <v>56</v>
      </c>
      <c r="E353" s="1" t="s">
        <v>12</v>
      </c>
      <c r="F353" s="2">
        <v>45125</v>
      </c>
      <c r="G353" s="1" t="s">
        <v>13</v>
      </c>
      <c r="H353" s="1" t="s">
        <v>23</v>
      </c>
      <c r="I353">
        <v>2</v>
      </c>
      <c r="J353">
        <v>29451.69</v>
      </c>
      <c r="K353" s="1" t="s">
        <v>26</v>
      </c>
      <c r="L353" s="1">
        <f>customer_project_data_500_rows[[#This Row],[Quantity]]*customer_project_data_500_rows[[#This Row],[Price]]</f>
        <v>58903.38</v>
      </c>
    </row>
    <row r="354" spans="1:12" x14ac:dyDescent="0.3">
      <c r="A354">
        <v>1353</v>
      </c>
      <c r="B354" s="1" t="s">
        <v>383</v>
      </c>
      <c r="C354" s="1" t="s">
        <v>531</v>
      </c>
      <c r="D354">
        <v>30</v>
      </c>
      <c r="E354" s="1" t="s">
        <v>12</v>
      </c>
      <c r="F354" s="2">
        <v>45255</v>
      </c>
      <c r="G354" s="1" t="s">
        <v>30</v>
      </c>
      <c r="H354" s="1" t="s">
        <v>19</v>
      </c>
      <c r="I354">
        <v>5</v>
      </c>
      <c r="J354">
        <v>23405.54</v>
      </c>
      <c r="K354" s="1" t="s">
        <v>20</v>
      </c>
      <c r="L354" s="1">
        <f>customer_project_data_500_rows[[#This Row],[Quantity]]*customer_project_data_500_rows[[#This Row],[Price]]</f>
        <v>117027.70000000001</v>
      </c>
    </row>
    <row r="355" spans="1:12" x14ac:dyDescent="0.3">
      <c r="A355">
        <v>1354</v>
      </c>
      <c r="B355" s="1" t="s">
        <v>384</v>
      </c>
      <c r="C355" s="1" t="s">
        <v>532</v>
      </c>
      <c r="D355">
        <v>36</v>
      </c>
      <c r="E355" s="1" t="s">
        <v>17</v>
      </c>
      <c r="F355" s="2">
        <v>45265</v>
      </c>
      <c r="G355" s="1" t="s">
        <v>34</v>
      </c>
      <c r="H355" s="1" t="s">
        <v>23</v>
      </c>
      <c r="I355">
        <v>2</v>
      </c>
      <c r="J355">
        <v>44724.62</v>
      </c>
      <c r="K355" s="1" t="s">
        <v>15</v>
      </c>
      <c r="L355" s="1">
        <f>customer_project_data_500_rows[[#This Row],[Quantity]]*customer_project_data_500_rows[[#This Row],[Price]]</f>
        <v>89449.24</v>
      </c>
    </row>
    <row r="356" spans="1:12" x14ac:dyDescent="0.3">
      <c r="A356">
        <v>1355</v>
      </c>
      <c r="B356" s="1" t="s">
        <v>385</v>
      </c>
      <c r="C356" s="1" t="s">
        <v>42</v>
      </c>
      <c r="D356">
        <v>31</v>
      </c>
      <c r="E356" s="1" t="s">
        <v>32</v>
      </c>
      <c r="F356" s="2">
        <v>45190</v>
      </c>
      <c r="G356" s="1" t="s">
        <v>25</v>
      </c>
      <c r="H356" s="1" t="s">
        <v>19</v>
      </c>
      <c r="I356">
        <v>1</v>
      </c>
      <c r="J356">
        <v>41494.92</v>
      </c>
      <c r="K356" s="1" t="s">
        <v>39</v>
      </c>
      <c r="L356" s="1">
        <f>customer_project_data_500_rows[[#This Row],[Quantity]]*customer_project_data_500_rows[[#This Row],[Price]]</f>
        <v>41494.92</v>
      </c>
    </row>
    <row r="357" spans="1:12" x14ac:dyDescent="0.3">
      <c r="A357">
        <v>1356</v>
      </c>
      <c r="B357" s="1" t="s">
        <v>386</v>
      </c>
      <c r="C357" s="1" t="s">
        <v>42</v>
      </c>
      <c r="D357">
        <v>31</v>
      </c>
      <c r="E357" s="1" t="s">
        <v>32</v>
      </c>
      <c r="F357" s="2">
        <v>45512</v>
      </c>
      <c r="G357" s="1" t="s">
        <v>13</v>
      </c>
      <c r="H357" s="1" t="s">
        <v>14</v>
      </c>
      <c r="I357">
        <v>3</v>
      </c>
      <c r="J357">
        <v>2989.4</v>
      </c>
      <c r="K357" s="1" t="s">
        <v>15</v>
      </c>
      <c r="L357" s="1">
        <f>customer_project_data_500_rows[[#This Row],[Quantity]]*customer_project_data_500_rows[[#This Row],[Price]]</f>
        <v>8968.2000000000007</v>
      </c>
    </row>
    <row r="358" spans="1:12" x14ac:dyDescent="0.3">
      <c r="A358">
        <v>1357</v>
      </c>
      <c r="B358" s="1" t="s">
        <v>387</v>
      </c>
      <c r="C358" s="1" t="s">
        <v>42</v>
      </c>
      <c r="D358">
        <v>42</v>
      </c>
      <c r="E358" s="1" t="s">
        <v>32</v>
      </c>
      <c r="F358" s="2">
        <v>45139</v>
      </c>
      <c r="G358" s="1" t="s">
        <v>18</v>
      </c>
      <c r="H358" s="1" t="s">
        <v>14</v>
      </c>
      <c r="I358">
        <v>2</v>
      </c>
      <c r="J358">
        <v>48167.7</v>
      </c>
      <c r="K358" s="1" t="s">
        <v>37</v>
      </c>
      <c r="L358" s="1">
        <f>customer_project_data_500_rows[[#This Row],[Quantity]]*customer_project_data_500_rows[[#This Row],[Price]]</f>
        <v>96335.4</v>
      </c>
    </row>
    <row r="359" spans="1:12" x14ac:dyDescent="0.3">
      <c r="A359">
        <v>1358</v>
      </c>
      <c r="B359" s="1" t="s">
        <v>388</v>
      </c>
      <c r="C359" s="1" t="s">
        <v>532</v>
      </c>
      <c r="D359">
        <v>62</v>
      </c>
      <c r="E359" s="1" t="s">
        <v>17</v>
      </c>
      <c r="F359" s="2">
        <v>45558</v>
      </c>
      <c r="G359" s="1" t="s">
        <v>30</v>
      </c>
      <c r="H359" s="1" t="s">
        <v>19</v>
      </c>
      <c r="I359">
        <v>3</v>
      </c>
      <c r="J359">
        <v>863.32</v>
      </c>
      <c r="K359" s="1" t="s">
        <v>37</v>
      </c>
      <c r="L359" s="1">
        <f>customer_project_data_500_rows[[#This Row],[Quantity]]*customer_project_data_500_rows[[#This Row],[Price]]</f>
        <v>2589.96</v>
      </c>
    </row>
    <row r="360" spans="1:12" x14ac:dyDescent="0.3">
      <c r="A360">
        <v>1359</v>
      </c>
      <c r="B360" s="1" t="s">
        <v>389</v>
      </c>
      <c r="C360" s="1" t="s">
        <v>531</v>
      </c>
      <c r="D360">
        <v>44</v>
      </c>
      <c r="E360" s="1" t="s">
        <v>36</v>
      </c>
      <c r="F360" s="2">
        <v>45015</v>
      </c>
      <c r="G360" s="1" t="s">
        <v>30</v>
      </c>
      <c r="H360" s="1" t="s">
        <v>14</v>
      </c>
      <c r="I360">
        <v>1</v>
      </c>
      <c r="J360">
        <v>28870.04</v>
      </c>
      <c r="K360" s="1" t="s">
        <v>37</v>
      </c>
      <c r="L360" s="1">
        <f>customer_project_data_500_rows[[#This Row],[Quantity]]*customer_project_data_500_rows[[#This Row],[Price]]</f>
        <v>28870.04</v>
      </c>
    </row>
    <row r="361" spans="1:12" x14ac:dyDescent="0.3">
      <c r="A361">
        <v>1360</v>
      </c>
      <c r="B361" s="1" t="s">
        <v>390</v>
      </c>
      <c r="C361" s="1" t="s">
        <v>42</v>
      </c>
      <c r="D361">
        <v>37</v>
      </c>
      <c r="E361" s="1" t="s">
        <v>36</v>
      </c>
      <c r="F361" s="2">
        <v>45176</v>
      </c>
      <c r="G361" s="1" t="s">
        <v>18</v>
      </c>
      <c r="H361" s="1" t="s">
        <v>23</v>
      </c>
      <c r="I361">
        <v>4</v>
      </c>
      <c r="J361">
        <v>28835.33</v>
      </c>
      <c r="K361" s="1" t="s">
        <v>26</v>
      </c>
      <c r="L361" s="1">
        <f>customer_project_data_500_rows[[#This Row],[Quantity]]*customer_project_data_500_rows[[#This Row],[Price]]</f>
        <v>115341.32</v>
      </c>
    </row>
    <row r="362" spans="1:12" x14ac:dyDescent="0.3">
      <c r="A362">
        <v>1361</v>
      </c>
      <c r="B362" s="1" t="s">
        <v>391</v>
      </c>
      <c r="C362" s="1" t="s">
        <v>531</v>
      </c>
      <c r="D362">
        <v>57</v>
      </c>
      <c r="E362" s="1" t="s">
        <v>29</v>
      </c>
      <c r="F362" s="2">
        <v>45228</v>
      </c>
      <c r="G362" s="1" t="s">
        <v>30</v>
      </c>
      <c r="H362" s="1" t="s">
        <v>19</v>
      </c>
      <c r="I362">
        <v>2</v>
      </c>
      <c r="J362">
        <v>41801.79</v>
      </c>
      <c r="K362" s="1" t="s">
        <v>26</v>
      </c>
      <c r="L362" s="1">
        <f>customer_project_data_500_rows[[#This Row],[Quantity]]*customer_project_data_500_rows[[#This Row],[Price]]</f>
        <v>83603.58</v>
      </c>
    </row>
    <row r="363" spans="1:12" x14ac:dyDescent="0.3">
      <c r="A363">
        <v>1362</v>
      </c>
      <c r="B363" s="1" t="s">
        <v>392</v>
      </c>
      <c r="C363" s="1" t="s">
        <v>531</v>
      </c>
      <c r="D363">
        <v>52</v>
      </c>
      <c r="E363" s="1" t="s">
        <v>17</v>
      </c>
      <c r="F363" s="2">
        <v>45603</v>
      </c>
      <c r="G363" s="1" t="s">
        <v>25</v>
      </c>
      <c r="H363" s="1" t="s">
        <v>23</v>
      </c>
      <c r="I363">
        <v>2</v>
      </c>
      <c r="J363">
        <v>19543.45</v>
      </c>
      <c r="K363" s="1" t="s">
        <v>37</v>
      </c>
      <c r="L363" s="1">
        <f>customer_project_data_500_rows[[#This Row],[Quantity]]*customer_project_data_500_rows[[#This Row],[Price]]</f>
        <v>39086.9</v>
      </c>
    </row>
    <row r="364" spans="1:12" x14ac:dyDescent="0.3">
      <c r="A364">
        <v>1363</v>
      </c>
      <c r="B364" s="1" t="s">
        <v>393</v>
      </c>
      <c r="C364" s="1" t="s">
        <v>531</v>
      </c>
      <c r="D364">
        <v>33</v>
      </c>
      <c r="E364" s="1" t="s">
        <v>32</v>
      </c>
      <c r="F364" s="2">
        <v>45350</v>
      </c>
      <c r="G364" s="1" t="s">
        <v>22</v>
      </c>
      <c r="H364" s="1" t="s">
        <v>19</v>
      </c>
      <c r="I364">
        <v>1</v>
      </c>
      <c r="J364">
        <v>5006.5200000000004</v>
      </c>
      <c r="K364" s="1" t="s">
        <v>26</v>
      </c>
      <c r="L364" s="1">
        <f>customer_project_data_500_rows[[#This Row],[Quantity]]*customer_project_data_500_rows[[#This Row],[Price]]</f>
        <v>5006.5200000000004</v>
      </c>
    </row>
    <row r="365" spans="1:12" x14ac:dyDescent="0.3">
      <c r="A365">
        <v>1364</v>
      </c>
      <c r="B365" s="1" t="s">
        <v>394</v>
      </c>
      <c r="C365" s="1" t="s">
        <v>531</v>
      </c>
      <c r="D365">
        <v>55</v>
      </c>
      <c r="E365" s="1" t="s">
        <v>32</v>
      </c>
      <c r="F365" s="2">
        <v>45220</v>
      </c>
      <c r="G365" s="1" t="s">
        <v>30</v>
      </c>
      <c r="H365" s="1" t="s">
        <v>23</v>
      </c>
      <c r="I365">
        <v>4</v>
      </c>
      <c r="J365">
        <v>29293.52</v>
      </c>
      <c r="K365" s="1" t="s">
        <v>20</v>
      </c>
      <c r="L365" s="1">
        <f>customer_project_data_500_rows[[#This Row],[Quantity]]*customer_project_data_500_rows[[#This Row],[Price]]</f>
        <v>117174.08</v>
      </c>
    </row>
    <row r="366" spans="1:12" x14ac:dyDescent="0.3">
      <c r="A366">
        <v>1365</v>
      </c>
      <c r="B366" s="1" t="s">
        <v>395</v>
      </c>
      <c r="C366" s="1" t="s">
        <v>532</v>
      </c>
      <c r="D366">
        <v>56</v>
      </c>
      <c r="E366" s="1" t="s">
        <v>29</v>
      </c>
      <c r="F366" s="2">
        <v>45317</v>
      </c>
      <c r="G366" s="1" t="s">
        <v>13</v>
      </c>
      <c r="H366" s="1" t="s">
        <v>14</v>
      </c>
      <c r="I366">
        <v>3</v>
      </c>
      <c r="J366">
        <v>1729.87</v>
      </c>
      <c r="K366" s="1" t="s">
        <v>39</v>
      </c>
      <c r="L366" s="1">
        <f>customer_project_data_500_rows[[#This Row],[Quantity]]*customer_project_data_500_rows[[#This Row],[Price]]</f>
        <v>5189.6099999999997</v>
      </c>
    </row>
    <row r="367" spans="1:12" x14ac:dyDescent="0.3">
      <c r="A367">
        <v>1366</v>
      </c>
      <c r="B367" s="1" t="s">
        <v>396</v>
      </c>
      <c r="C367" s="1" t="s">
        <v>531</v>
      </c>
      <c r="D367">
        <v>50</v>
      </c>
      <c r="E367" s="1" t="s">
        <v>29</v>
      </c>
      <c r="F367" s="2">
        <v>44970</v>
      </c>
      <c r="G367" s="1" t="s">
        <v>25</v>
      </c>
      <c r="H367" s="1" t="s">
        <v>23</v>
      </c>
      <c r="I367">
        <v>2</v>
      </c>
      <c r="J367">
        <v>18408.89</v>
      </c>
      <c r="K367" s="1" t="s">
        <v>20</v>
      </c>
      <c r="L367" s="1">
        <f>customer_project_data_500_rows[[#This Row],[Quantity]]*customer_project_data_500_rows[[#This Row],[Price]]</f>
        <v>36817.78</v>
      </c>
    </row>
    <row r="368" spans="1:12" x14ac:dyDescent="0.3">
      <c r="A368">
        <v>1367</v>
      </c>
      <c r="B368" s="1" t="s">
        <v>397</v>
      </c>
      <c r="C368" s="1" t="s">
        <v>42</v>
      </c>
      <c r="D368">
        <v>54</v>
      </c>
      <c r="E368" s="1" t="s">
        <v>36</v>
      </c>
      <c r="F368" s="2">
        <v>45625</v>
      </c>
      <c r="G368" s="1" t="s">
        <v>25</v>
      </c>
      <c r="H368" s="1" t="s">
        <v>23</v>
      </c>
      <c r="I368">
        <v>5</v>
      </c>
      <c r="J368">
        <v>49273.18</v>
      </c>
      <c r="K368" s="1" t="s">
        <v>15</v>
      </c>
      <c r="L368" s="1">
        <f>customer_project_data_500_rows[[#This Row],[Quantity]]*customer_project_data_500_rows[[#This Row],[Price]]</f>
        <v>246365.9</v>
      </c>
    </row>
    <row r="369" spans="1:12" x14ac:dyDescent="0.3">
      <c r="A369">
        <v>1368</v>
      </c>
      <c r="B369" s="1" t="s">
        <v>398</v>
      </c>
      <c r="C369" s="1" t="s">
        <v>531</v>
      </c>
      <c r="D369">
        <v>52</v>
      </c>
      <c r="E369" s="1" t="s">
        <v>12</v>
      </c>
      <c r="F369" s="2">
        <v>45557</v>
      </c>
      <c r="G369" s="1" t="s">
        <v>25</v>
      </c>
      <c r="H369" s="1" t="s">
        <v>19</v>
      </c>
      <c r="I369">
        <v>5</v>
      </c>
      <c r="J369">
        <v>43504.55</v>
      </c>
      <c r="K369" s="1" t="s">
        <v>26</v>
      </c>
      <c r="L369" s="1">
        <f>customer_project_data_500_rows[[#This Row],[Quantity]]*customer_project_data_500_rows[[#This Row],[Price]]</f>
        <v>217522.75</v>
      </c>
    </row>
    <row r="370" spans="1:12" x14ac:dyDescent="0.3">
      <c r="A370">
        <v>1369</v>
      </c>
      <c r="B370" s="1" t="s">
        <v>399</v>
      </c>
      <c r="C370" s="1" t="s">
        <v>532</v>
      </c>
      <c r="D370">
        <v>64</v>
      </c>
      <c r="E370" s="1" t="s">
        <v>32</v>
      </c>
      <c r="F370" s="2">
        <v>45596</v>
      </c>
      <c r="G370" s="1" t="s">
        <v>18</v>
      </c>
      <c r="H370" s="1" t="s">
        <v>23</v>
      </c>
      <c r="I370">
        <v>3</v>
      </c>
      <c r="J370">
        <v>8048.59</v>
      </c>
      <c r="K370" s="1" t="s">
        <v>39</v>
      </c>
      <c r="L370" s="1">
        <f>customer_project_data_500_rows[[#This Row],[Quantity]]*customer_project_data_500_rows[[#This Row],[Price]]</f>
        <v>24145.77</v>
      </c>
    </row>
    <row r="371" spans="1:12" x14ac:dyDescent="0.3">
      <c r="A371">
        <v>1370</v>
      </c>
      <c r="B371" s="1" t="s">
        <v>400</v>
      </c>
      <c r="C371" s="1" t="s">
        <v>532</v>
      </c>
      <c r="D371">
        <v>19</v>
      </c>
      <c r="E371" s="1" t="s">
        <v>12</v>
      </c>
      <c r="F371" s="2">
        <v>44975</v>
      </c>
      <c r="G371" s="1" t="s">
        <v>13</v>
      </c>
      <c r="H371" s="1" t="s">
        <v>23</v>
      </c>
      <c r="I371">
        <v>2</v>
      </c>
      <c r="J371">
        <v>40041.89</v>
      </c>
      <c r="K371" s="1" t="s">
        <v>15</v>
      </c>
      <c r="L371" s="1">
        <f>customer_project_data_500_rows[[#This Row],[Quantity]]*customer_project_data_500_rows[[#This Row],[Price]]</f>
        <v>80083.78</v>
      </c>
    </row>
    <row r="372" spans="1:12" x14ac:dyDescent="0.3">
      <c r="A372">
        <v>1371</v>
      </c>
      <c r="B372" s="1" t="s">
        <v>401</v>
      </c>
      <c r="C372" s="1" t="s">
        <v>42</v>
      </c>
      <c r="D372">
        <v>50</v>
      </c>
      <c r="E372" s="1" t="s">
        <v>29</v>
      </c>
      <c r="F372" s="2">
        <v>45110</v>
      </c>
      <c r="G372" s="1" t="s">
        <v>18</v>
      </c>
      <c r="H372" s="1" t="s">
        <v>23</v>
      </c>
      <c r="I372">
        <v>1</v>
      </c>
      <c r="J372">
        <v>40644.35</v>
      </c>
      <c r="K372" s="1" t="s">
        <v>20</v>
      </c>
      <c r="L372" s="1">
        <f>customer_project_data_500_rows[[#This Row],[Quantity]]*customer_project_data_500_rows[[#This Row],[Price]]</f>
        <v>40644.35</v>
      </c>
    </row>
    <row r="373" spans="1:12" x14ac:dyDescent="0.3">
      <c r="A373">
        <v>1372</v>
      </c>
      <c r="B373" s="1" t="s">
        <v>402</v>
      </c>
      <c r="C373" s="1" t="s">
        <v>42</v>
      </c>
      <c r="D373">
        <v>48</v>
      </c>
      <c r="E373" s="1" t="s">
        <v>36</v>
      </c>
      <c r="F373" s="2">
        <v>44972</v>
      </c>
      <c r="G373" s="1" t="s">
        <v>18</v>
      </c>
      <c r="H373" s="1" t="s">
        <v>19</v>
      </c>
      <c r="I373">
        <v>1</v>
      </c>
      <c r="J373">
        <v>46446.26</v>
      </c>
      <c r="K373" s="1" t="s">
        <v>37</v>
      </c>
      <c r="L373" s="1">
        <f>customer_project_data_500_rows[[#This Row],[Quantity]]*customer_project_data_500_rows[[#This Row],[Price]]</f>
        <v>46446.26</v>
      </c>
    </row>
    <row r="374" spans="1:12" x14ac:dyDescent="0.3">
      <c r="A374">
        <v>1373</v>
      </c>
      <c r="B374" s="1" t="s">
        <v>403</v>
      </c>
      <c r="C374" s="1" t="s">
        <v>531</v>
      </c>
      <c r="D374">
        <v>55</v>
      </c>
      <c r="E374" s="1" t="s">
        <v>36</v>
      </c>
      <c r="F374" s="2">
        <v>45447</v>
      </c>
      <c r="G374" s="1" t="s">
        <v>30</v>
      </c>
      <c r="H374" s="1" t="s">
        <v>14</v>
      </c>
      <c r="I374">
        <v>4</v>
      </c>
      <c r="J374">
        <v>11607.02</v>
      </c>
      <c r="K374" s="1" t="s">
        <v>39</v>
      </c>
      <c r="L374" s="1">
        <f>customer_project_data_500_rows[[#This Row],[Quantity]]*customer_project_data_500_rows[[#This Row],[Price]]</f>
        <v>46428.08</v>
      </c>
    </row>
    <row r="375" spans="1:12" x14ac:dyDescent="0.3">
      <c r="A375">
        <v>1374</v>
      </c>
      <c r="B375" s="1" t="s">
        <v>404</v>
      </c>
      <c r="C375" s="1" t="s">
        <v>532</v>
      </c>
      <c r="D375">
        <v>25</v>
      </c>
      <c r="E375" s="1" t="s">
        <v>17</v>
      </c>
      <c r="F375" s="2">
        <v>45217</v>
      </c>
      <c r="G375" s="1" t="s">
        <v>13</v>
      </c>
      <c r="H375" s="1" t="s">
        <v>23</v>
      </c>
      <c r="I375">
        <v>2</v>
      </c>
      <c r="J375">
        <v>25198.89</v>
      </c>
      <c r="K375" s="1" t="s">
        <v>26</v>
      </c>
      <c r="L375" s="1">
        <f>customer_project_data_500_rows[[#This Row],[Quantity]]*customer_project_data_500_rows[[#This Row],[Price]]</f>
        <v>50397.78</v>
      </c>
    </row>
    <row r="376" spans="1:12" x14ac:dyDescent="0.3">
      <c r="A376">
        <v>1375</v>
      </c>
      <c r="B376" s="1" t="s">
        <v>405</v>
      </c>
      <c r="C376" s="1" t="s">
        <v>532</v>
      </c>
      <c r="D376">
        <v>50</v>
      </c>
      <c r="E376" s="1" t="s">
        <v>12</v>
      </c>
      <c r="F376" s="2">
        <v>44956</v>
      </c>
      <c r="G376" s="1" t="s">
        <v>18</v>
      </c>
      <c r="H376" s="1" t="s">
        <v>23</v>
      </c>
      <c r="I376">
        <v>3</v>
      </c>
      <c r="J376">
        <v>41458.480000000003</v>
      </c>
      <c r="K376" s="1" t="s">
        <v>39</v>
      </c>
      <c r="L376" s="1">
        <f>customer_project_data_500_rows[[#This Row],[Quantity]]*customer_project_data_500_rows[[#This Row],[Price]]</f>
        <v>124375.44</v>
      </c>
    </row>
    <row r="377" spans="1:12" x14ac:dyDescent="0.3">
      <c r="A377">
        <v>1376</v>
      </c>
      <c r="B377" s="1" t="s">
        <v>406</v>
      </c>
      <c r="C377" s="1" t="s">
        <v>532</v>
      </c>
      <c r="D377">
        <v>61</v>
      </c>
      <c r="E377" s="1" t="s">
        <v>29</v>
      </c>
      <c r="F377" s="2">
        <v>45183</v>
      </c>
      <c r="G377" s="1" t="s">
        <v>13</v>
      </c>
      <c r="H377" s="1" t="s">
        <v>14</v>
      </c>
      <c r="I377">
        <v>5</v>
      </c>
      <c r="J377">
        <v>33533.019999999997</v>
      </c>
      <c r="K377" s="1" t="s">
        <v>39</v>
      </c>
      <c r="L377" s="1">
        <f>customer_project_data_500_rows[[#This Row],[Quantity]]*customer_project_data_500_rows[[#This Row],[Price]]</f>
        <v>167665.09999999998</v>
      </c>
    </row>
    <row r="378" spans="1:12" x14ac:dyDescent="0.3">
      <c r="A378">
        <v>1377</v>
      </c>
      <c r="B378" s="1" t="s">
        <v>407</v>
      </c>
      <c r="C378" s="1" t="s">
        <v>42</v>
      </c>
      <c r="D378">
        <v>59</v>
      </c>
      <c r="E378" s="1" t="s">
        <v>12</v>
      </c>
      <c r="F378" s="2">
        <v>45134</v>
      </c>
      <c r="G378" s="1" t="s">
        <v>18</v>
      </c>
      <c r="H378" s="1" t="s">
        <v>14</v>
      </c>
      <c r="I378">
        <v>5</v>
      </c>
      <c r="J378">
        <v>29899.84</v>
      </c>
      <c r="K378" s="1" t="s">
        <v>26</v>
      </c>
      <c r="L378" s="1">
        <f>customer_project_data_500_rows[[#This Row],[Quantity]]*customer_project_data_500_rows[[#This Row],[Price]]</f>
        <v>149499.20000000001</v>
      </c>
    </row>
    <row r="379" spans="1:12" x14ac:dyDescent="0.3">
      <c r="A379">
        <v>1378</v>
      </c>
      <c r="B379" s="1" t="s">
        <v>408</v>
      </c>
      <c r="C379" s="1" t="s">
        <v>42</v>
      </c>
      <c r="D379">
        <v>23</v>
      </c>
      <c r="E379" s="1" t="s">
        <v>32</v>
      </c>
      <c r="F379" s="2">
        <v>45187</v>
      </c>
      <c r="G379" s="1" t="s">
        <v>30</v>
      </c>
      <c r="H379" s="1" t="s">
        <v>14</v>
      </c>
      <c r="I379">
        <v>1</v>
      </c>
      <c r="J379">
        <v>32772.800000000003</v>
      </c>
      <c r="K379" s="1" t="s">
        <v>20</v>
      </c>
      <c r="L379" s="1">
        <f>customer_project_data_500_rows[[#This Row],[Quantity]]*customer_project_data_500_rows[[#This Row],[Price]]</f>
        <v>32772.800000000003</v>
      </c>
    </row>
    <row r="380" spans="1:12" x14ac:dyDescent="0.3">
      <c r="A380">
        <v>1379</v>
      </c>
      <c r="B380" s="1" t="s">
        <v>409</v>
      </c>
      <c r="C380" s="1" t="s">
        <v>532</v>
      </c>
      <c r="D380">
        <v>19</v>
      </c>
      <c r="E380" s="1" t="s">
        <v>17</v>
      </c>
      <c r="F380" s="2">
        <v>45254</v>
      </c>
      <c r="G380" s="1" t="s">
        <v>13</v>
      </c>
      <c r="H380" s="1" t="s">
        <v>14</v>
      </c>
      <c r="I380">
        <v>4</v>
      </c>
      <c r="J380">
        <v>12306.54</v>
      </c>
      <c r="K380" s="1" t="s">
        <v>39</v>
      </c>
      <c r="L380" s="1">
        <f>customer_project_data_500_rows[[#This Row],[Quantity]]*customer_project_data_500_rows[[#This Row],[Price]]</f>
        <v>49226.16</v>
      </c>
    </row>
    <row r="381" spans="1:12" x14ac:dyDescent="0.3">
      <c r="A381">
        <v>1380</v>
      </c>
      <c r="B381" s="1" t="s">
        <v>410</v>
      </c>
      <c r="C381" s="1" t="s">
        <v>531</v>
      </c>
      <c r="D381">
        <v>51</v>
      </c>
      <c r="E381" s="1" t="s">
        <v>12</v>
      </c>
      <c r="F381" s="2">
        <v>45312</v>
      </c>
      <c r="G381" s="1" t="s">
        <v>13</v>
      </c>
      <c r="H381" s="1" t="s">
        <v>19</v>
      </c>
      <c r="I381">
        <v>3</v>
      </c>
      <c r="J381">
        <v>1764.23</v>
      </c>
      <c r="K381" s="1" t="s">
        <v>20</v>
      </c>
      <c r="L381" s="1">
        <f>customer_project_data_500_rows[[#This Row],[Quantity]]*customer_project_data_500_rows[[#This Row],[Price]]</f>
        <v>5292.6900000000005</v>
      </c>
    </row>
    <row r="382" spans="1:12" x14ac:dyDescent="0.3">
      <c r="A382">
        <v>1381</v>
      </c>
      <c r="B382" s="1" t="s">
        <v>411</v>
      </c>
      <c r="C382" s="1" t="s">
        <v>531</v>
      </c>
      <c r="D382">
        <v>48</v>
      </c>
      <c r="E382" s="1" t="s">
        <v>32</v>
      </c>
      <c r="F382" s="2">
        <v>45319</v>
      </c>
      <c r="G382" s="1" t="s">
        <v>25</v>
      </c>
      <c r="H382" s="1" t="s">
        <v>19</v>
      </c>
      <c r="I382">
        <v>2</v>
      </c>
      <c r="J382">
        <v>36944.730000000003</v>
      </c>
      <c r="K382" s="1" t="s">
        <v>37</v>
      </c>
      <c r="L382" s="1">
        <f>customer_project_data_500_rows[[#This Row],[Quantity]]*customer_project_data_500_rows[[#This Row],[Price]]</f>
        <v>73889.460000000006</v>
      </c>
    </row>
    <row r="383" spans="1:12" x14ac:dyDescent="0.3">
      <c r="A383">
        <v>1382</v>
      </c>
      <c r="B383" s="1" t="s">
        <v>412</v>
      </c>
      <c r="C383" s="1" t="s">
        <v>531</v>
      </c>
      <c r="D383">
        <v>36</v>
      </c>
      <c r="E383" s="1" t="s">
        <v>29</v>
      </c>
      <c r="F383" s="2">
        <v>45337</v>
      </c>
      <c r="G383" s="1" t="s">
        <v>13</v>
      </c>
      <c r="H383" s="1" t="s">
        <v>14</v>
      </c>
      <c r="I383">
        <v>2</v>
      </c>
      <c r="J383">
        <v>16676.2</v>
      </c>
      <c r="K383" s="1" t="s">
        <v>37</v>
      </c>
      <c r="L383" s="1">
        <f>customer_project_data_500_rows[[#This Row],[Quantity]]*customer_project_data_500_rows[[#This Row],[Price]]</f>
        <v>33352.400000000001</v>
      </c>
    </row>
    <row r="384" spans="1:12" x14ac:dyDescent="0.3">
      <c r="A384">
        <v>1383</v>
      </c>
      <c r="B384" s="1" t="s">
        <v>413</v>
      </c>
      <c r="C384" s="1" t="s">
        <v>42</v>
      </c>
      <c r="D384">
        <v>35</v>
      </c>
      <c r="E384" s="1" t="s">
        <v>32</v>
      </c>
      <c r="F384" s="2">
        <v>45223</v>
      </c>
      <c r="G384" s="1" t="s">
        <v>13</v>
      </c>
      <c r="H384" s="1" t="s">
        <v>19</v>
      </c>
      <c r="I384">
        <v>1</v>
      </c>
      <c r="J384">
        <v>19149.47</v>
      </c>
      <c r="K384" s="1" t="s">
        <v>26</v>
      </c>
      <c r="L384" s="1">
        <f>customer_project_data_500_rows[[#This Row],[Quantity]]*customer_project_data_500_rows[[#This Row],[Price]]</f>
        <v>19149.47</v>
      </c>
    </row>
    <row r="385" spans="1:12" x14ac:dyDescent="0.3">
      <c r="A385">
        <v>1384</v>
      </c>
      <c r="B385" s="1" t="s">
        <v>414</v>
      </c>
      <c r="C385" s="1" t="s">
        <v>531</v>
      </c>
      <c r="D385">
        <v>36</v>
      </c>
      <c r="E385" s="1" t="s">
        <v>12</v>
      </c>
      <c r="F385" s="2">
        <v>45272</v>
      </c>
      <c r="G385" s="1" t="s">
        <v>25</v>
      </c>
      <c r="H385" s="1" t="s">
        <v>19</v>
      </c>
      <c r="I385">
        <v>3</v>
      </c>
      <c r="J385">
        <v>30824.49</v>
      </c>
      <c r="K385" s="1" t="s">
        <v>20</v>
      </c>
      <c r="L385" s="1">
        <f>customer_project_data_500_rows[[#This Row],[Quantity]]*customer_project_data_500_rows[[#This Row],[Price]]</f>
        <v>92473.47</v>
      </c>
    </row>
    <row r="386" spans="1:12" x14ac:dyDescent="0.3">
      <c r="A386">
        <v>1385</v>
      </c>
      <c r="B386" s="1" t="s">
        <v>415</v>
      </c>
      <c r="C386" s="1" t="s">
        <v>531</v>
      </c>
      <c r="D386">
        <v>49</v>
      </c>
      <c r="E386" s="1" t="s">
        <v>32</v>
      </c>
      <c r="F386" s="2">
        <v>45509</v>
      </c>
      <c r="G386" s="1" t="s">
        <v>18</v>
      </c>
      <c r="H386" s="1" t="s">
        <v>19</v>
      </c>
      <c r="I386">
        <v>1</v>
      </c>
      <c r="J386">
        <v>33029.67</v>
      </c>
      <c r="K386" s="1" t="s">
        <v>15</v>
      </c>
      <c r="L386" s="1">
        <f>customer_project_data_500_rows[[#This Row],[Quantity]]*customer_project_data_500_rows[[#This Row],[Price]]</f>
        <v>33029.67</v>
      </c>
    </row>
    <row r="387" spans="1:12" x14ac:dyDescent="0.3">
      <c r="A387">
        <v>1386</v>
      </c>
      <c r="B387" s="1" t="s">
        <v>416</v>
      </c>
      <c r="C387" s="1" t="s">
        <v>532</v>
      </c>
      <c r="D387">
        <v>25</v>
      </c>
      <c r="E387" s="1" t="s">
        <v>17</v>
      </c>
      <c r="F387" s="2">
        <v>45190</v>
      </c>
      <c r="G387" s="1" t="s">
        <v>34</v>
      </c>
      <c r="H387" s="1" t="s">
        <v>14</v>
      </c>
      <c r="I387">
        <v>4</v>
      </c>
      <c r="J387">
        <v>10543.5</v>
      </c>
      <c r="K387" s="1" t="s">
        <v>26</v>
      </c>
      <c r="L387" s="1">
        <f>customer_project_data_500_rows[[#This Row],[Quantity]]*customer_project_data_500_rows[[#This Row],[Price]]</f>
        <v>42174</v>
      </c>
    </row>
    <row r="388" spans="1:12" x14ac:dyDescent="0.3">
      <c r="A388">
        <v>1387</v>
      </c>
      <c r="B388" s="1" t="s">
        <v>417</v>
      </c>
      <c r="C388" s="1" t="s">
        <v>531</v>
      </c>
      <c r="D388">
        <v>39</v>
      </c>
      <c r="E388" s="1" t="s">
        <v>36</v>
      </c>
      <c r="F388" s="2">
        <v>45171</v>
      </c>
      <c r="G388" s="1" t="s">
        <v>22</v>
      </c>
      <c r="H388" s="1" t="s">
        <v>19</v>
      </c>
      <c r="I388">
        <v>1</v>
      </c>
      <c r="J388">
        <v>41388.559999999998</v>
      </c>
      <c r="K388" s="1" t="s">
        <v>26</v>
      </c>
      <c r="L388" s="1">
        <f>customer_project_data_500_rows[[#This Row],[Quantity]]*customer_project_data_500_rows[[#This Row],[Price]]</f>
        <v>41388.559999999998</v>
      </c>
    </row>
    <row r="389" spans="1:12" x14ac:dyDescent="0.3">
      <c r="A389">
        <v>1388</v>
      </c>
      <c r="B389" s="1" t="s">
        <v>418</v>
      </c>
      <c r="C389" s="1" t="s">
        <v>42</v>
      </c>
      <c r="D389">
        <v>36</v>
      </c>
      <c r="E389" s="1" t="s">
        <v>17</v>
      </c>
      <c r="F389" s="2">
        <v>44965</v>
      </c>
      <c r="G389" s="1" t="s">
        <v>25</v>
      </c>
      <c r="H389" s="1" t="s">
        <v>23</v>
      </c>
      <c r="I389">
        <v>1</v>
      </c>
      <c r="J389">
        <v>19320.23</v>
      </c>
      <c r="K389" s="1" t="s">
        <v>20</v>
      </c>
      <c r="L389" s="1">
        <f>customer_project_data_500_rows[[#This Row],[Quantity]]*customer_project_data_500_rows[[#This Row],[Price]]</f>
        <v>19320.23</v>
      </c>
    </row>
    <row r="390" spans="1:12" x14ac:dyDescent="0.3">
      <c r="A390">
        <v>1389</v>
      </c>
      <c r="B390" s="1" t="s">
        <v>419</v>
      </c>
      <c r="C390" s="1" t="s">
        <v>532</v>
      </c>
      <c r="D390">
        <v>64</v>
      </c>
      <c r="E390" s="1" t="s">
        <v>32</v>
      </c>
      <c r="F390" s="2">
        <v>45136</v>
      </c>
      <c r="G390" s="1" t="s">
        <v>22</v>
      </c>
      <c r="H390" s="1" t="s">
        <v>14</v>
      </c>
      <c r="I390">
        <v>3</v>
      </c>
      <c r="J390">
        <v>31771.35</v>
      </c>
      <c r="K390" s="1" t="s">
        <v>15</v>
      </c>
      <c r="L390" s="1">
        <f>customer_project_data_500_rows[[#This Row],[Quantity]]*customer_project_data_500_rows[[#This Row],[Price]]</f>
        <v>95314.049999999988</v>
      </c>
    </row>
    <row r="391" spans="1:12" x14ac:dyDescent="0.3">
      <c r="A391">
        <v>1390</v>
      </c>
      <c r="B391" s="1" t="s">
        <v>420</v>
      </c>
      <c r="C391" s="1" t="s">
        <v>532</v>
      </c>
      <c r="D391">
        <v>62</v>
      </c>
      <c r="E391" s="1" t="s">
        <v>29</v>
      </c>
      <c r="F391" s="2">
        <v>45434</v>
      </c>
      <c r="G391" s="1" t="s">
        <v>30</v>
      </c>
      <c r="H391" s="1" t="s">
        <v>19</v>
      </c>
      <c r="I391">
        <v>5</v>
      </c>
      <c r="J391">
        <v>48337.37</v>
      </c>
      <c r="K391" s="1" t="s">
        <v>20</v>
      </c>
      <c r="L391" s="1">
        <f>customer_project_data_500_rows[[#This Row],[Quantity]]*customer_project_data_500_rows[[#This Row],[Price]]</f>
        <v>241686.85</v>
      </c>
    </row>
    <row r="392" spans="1:12" x14ac:dyDescent="0.3">
      <c r="A392">
        <v>1391</v>
      </c>
      <c r="B392" s="1" t="s">
        <v>421</v>
      </c>
      <c r="C392" s="1" t="s">
        <v>532</v>
      </c>
      <c r="D392">
        <v>45</v>
      </c>
      <c r="E392" s="1" t="s">
        <v>12</v>
      </c>
      <c r="F392" s="2">
        <v>45084</v>
      </c>
      <c r="G392" s="1" t="s">
        <v>22</v>
      </c>
      <c r="H392" s="1" t="s">
        <v>14</v>
      </c>
      <c r="I392">
        <v>2</v>
      </c>
      <c r="J392">
        <v>28456.92</v>
      </c>
      <c r="K392" s="1" t="s">
        <v>20</v>
      </c>
      <c r="L392" s="1">
        <f>customer_project_data_500_rows[[#This Row],[Quantity]]*customer_project_data_500_rows[[#This Row],[Price]]</f>
        <v>56913.84</v>
      </c>
    </row>
    <row r="393" spans="1:12" x14ac:dyDescent="0.3">
      <c r="A393">
        <v>1392</v>
      </c>
      <c r="B393" s="1" t="s">
        <v>422</v>
      </c>
      <c r="C393" s="1" t="s">
        <v>42</v>
      </c>
      <c r="D393">
        <v>27</v>
      </c>
      <c r="E393" s="1" t="s">
        <v>12</v>
      </c>
      <c r="F393" s="2">
        <v>45425</v>
      </c>
      <c r="G393" s="1" t="s">
        <v>25</v>
      </c>
      <c r="H393" s="1" t="s">
        <v>23</v>
      </c>
      <c r="I393">
        <v>1</v>
      </c>
      <c r="J393">
        <v>18266.099999999999</v>
      </c>
      <c r="K393" s="1" t="s">
        <v>39</v>
      </c>
      <c r="L393" s="1">
        <f>customer_project_data_500_rows[[#This Row],[Quantity]]*customer_project_data_500_rows[[#This Row],[Price]]</f>
        <v>18266.099999999999</v>
      </c>
    </row>
    <row r="394" spans="1:12" x14ac:dyDescent="0.3">
      <c r="A394">
        <v>1393</v>
      </c>
      <c r="B394" s="1" t="s">
        <v>423</v>
      </c>
      <c r="C394" s="1" t="s">
        <v>531</v>
      </c>
      <c r="D394">
        <v>22</v>
      </c>
      <c r="E394" s="1" t="s">
        <v>36</v>
      </c>
      <c r="F394" s="2">
        <v>45157</v>
      </c>
      <c r="G394" s="1" t="s">
        <v>22</v>
      </c>
      <c r="H394" s="1" t="s">
        <v>19</v>
      </c>
      <c r="I394">
        <v>3</v>
      </c>
      <c r="J394">
        <v>31139.02</v>
      </c>
      <c r="K394" s="1" t="s">
        <v>20</v>
      </c>
      <c r="L394" s="1">
        <f>customer_project_data_500_rows[[#This Row],[Quantity]]*customer_project_data_500_rows[[#This Row],[Price]]</f>
        <v>93417.06</v>
      </c>
    </row>
    <row r="395" spans="1:12" x14ac:dyDescent="0.3">
      <c r="A395">
        <v>1394</v>
      </c>
      <c r="B395" s="1" t="s">
        <v>424</v>
      </c>
      <c r="C395" s="1" t="s">
        <v>531</v>
      </c>
      <c r="D395">
        <v>31</v>
      </c>
      <c r="E395" s="1" t="s">
        <v>32</v>
      </c>
      <c r="F395" s="2">
        <v>45442</v>
      </c>
      <c r="G395" s="1" t="s">
        <v>13</v>
      </c>
      <c r="H395" s="1" t="s">
        <v>23</v>
      </c>
      <c r="I395">
        <v>4</v>
      </c>
      <c r="J395">
        <v>25338.76</v>
      </c>
      <c r="K395" s="1" t="s">
        <v>26</v>
      </c>
      <c r="L395" s="1">
        <f>customer_project_data_500_rows[[#This Row],[Quantity]]*customer_project_data_500_rows[[#This Row],[Price]]</f>
        <v>101355.04</v>
      </c>
    </row>
    <row r="396" spans="1:12" x14ac:dyDescent="0.3">
      <c r="A396">
        <v>1395</v>
      </c>
      <c r="B396" s="1" t="s">
        <v>425</v>
      </c>
      <c r="C396" s="1" t="s">
        <v>531</v>
      </c>
      <c r="D396">
        <v>41</v>
      </c>
      <c r="E396" s="1" t="s">
        <v>29</v>
      </c>
      <c r="F396" s="2">
        <v>45105</v>
      </c>
      <c r="G396" s="1" t="s">
        <v>34</v>
      </c>
      <c r="H396" s="1" t="s">
        <v>14</v>
      </c>
      <c r="I396">
        <v>2</v>
      </c>
      <c r="J396">
        <v>22892.62</v>
      </c>
      <c r="K396" s="1" t="s">
        <v>15</v>
      </c>
      <c r="L396" s="1">
        <f>customer_project_data_500_rows[[#This Row],[Quantity]]*customer_project_data_500_rows[[#This Row],[Price]]</f>
        <v>45785.24</v>
      </c>
    </row>
    <row r="397" spans="1:12" x14ac:dyDescent="0.3">
      <c r="A397">
        <v>1396</v>
      </c>
      <c r="B397" s="1" t="s">
        <v>426</v>
      </c>
      <c r="C397" s="1" t="s">
        <v>532</v>
      </c>
      <c r="D397">
        <v>49</v>
      </c>
      <c r="E397" s="1" t="s">
        <v>32</v>
      </c>
      <c r="F397" s="2">
        <v>45530</v>
      </c>
      <c r="G397" s="1" t="s">
        <v>25</v>
      </c>
      <c r="H397" s="1" t="s">
        <v>14</v>
      </c>
      <c r="I397">
        <v>3</v>
      </c>
      <c r="J397">
        <v>36747.4</v>
      </c>
      <c r="K397" s="1" t="s">
        <v>39</v>
      </c>
      <c r="L397" s="1">
        <f>customer_project_data_500_rows[[#This Row],[Quantity]]*customer_project_data_500_rows[[#This Row],[Price]]</f>
        <v>110242.20000000001</v>
      </c>
    </row>
    <row r="398" spans="1:12" x14ac:dyDescent="0.3">
      <c r="A398">
        <v>1397</v>
      </c>
      <c r="B398" s="1" t="s">
        <v>427</v>
      </c>
      <c r="C398" s="1" t="s">
        <v>532</v>
      </c>
      <c r="D398">
        <v>55</v>
      </c>
      <c r="E398" s="1" t="s">
        <v>32</v>
      </c>
      <c r="F398" s="2">
        <v>45327</v>
      </c>
      <c r="G398" s="1" t="s">
        <v>18</v>
      </c>
      <c r="H398" s="1" t="s">
        <v>23</v>
      </c>
      <c r="I398">
        <v>3</v>
      </c>
      <c r="J398">
        <v>46263.25</v>
      </c>
      <c r="K398" s="1" t="s">
        <v>20</v>
      </c>
      <c r="L398" s="1">
        <f>customer_project_data_500_rows[[#This Row],[Quantity]]*customer_project_data_500_rows[[#This Row],[Price]]</f>
        <v>138789.75</v>
      </c>
    </row>
    <row r="399" spans="1:12" x14ac:dyDescent="0.3">
      <c r="A399">
        <v>1398</v>
      </c>
      <c r="B399" s="1" t="s">
        <v>428</v>
      </c>
      <c r="C399" s="1" t="s">
        <v>532</v>
      </c>
      <c r="D399">
        <v>18</v>
      </c>
      <c r="E399" s="1" t="s">
        <v>32</v>
      </c>
      <c r="F399" s="2">
        <v>45616</v>
      </c>
      <c r="G399" s="1" t="s">
        <v>13</v>
      </c>
      <c r="H399" s="1" t="s">
        <v>14</v>
      </c>
      <c r="I399">
        <v>3</v>
      </c>
      <c r="J399">
        <v>24223.94</v>
      </c>
      <c r="K399" s="1" t="s">
        <v>26</v>
      </c>
      <c r="L399" s="1">
        <f>customer_project_data_500_rows[[#This Row],[Quantity]]*customer_project_data_500_rows[[#This Row],[Price]]</f>
        <v>72671.819999999992</v>
      </c>
    </row>
    <row r="400" spans="1:12" x14ac:dyDescent="0.3">
      <c r="A400">
        <v>1399</v>
      </c>
      <c r="B400" s="1" t="s">
        <v>429</v>
      </c>
      <c r="C400" s="1" t="s">
        <v>42</v>
      </c>
      <c r="D400">
        <v>36</v>
      </c>
      <c r="E400" s="1" t="s">
        <v>32</v>
      </c>
      <c r="F400" s="2">
        <v>45290</v>
      </c>
      <c r="G400" s="1" t="s">
        <v>18</v>
      </c>
      <c r="H400" s="1" t="s">
        <v>19</v>
      </c>
      <c r="I400">
        <v>4</v>
      </c>
      <c r="J400">
        <v>4867.3900000000003</v>
      </c>
      <c r="K400" s="1" t="s">
        <v>37</v>
      </c>
      <c r="L400" s="1">
        <f>customer_project_data_500_rows[[#This Row],[Quantity]]*customer_project_data_500_rows[[#This Row],[Price]]</f>
        <v>19469.560000000001</v>
      </c>
    </row>
    <row r="401" spans="1:12" x14ac:dyDescent="0.3">
      <c r="A401">
        <v>1400</v>
      </c>
      <c r="B401" s="1" t="s">
        <v>430</v>
      </c>
      <c r="C401" s="1" t="s">
        <v>531</v>
      </c>
      <c r="D401">
        <v>49</v>
      </c>
      <c r="E401" s="1" t="s">
        <v>12</v>
      </c>
      <c r="F401" s="2">
        <v>44969</v>
      </c>
      <c r="G401" s="1" t="s">
        <v>22</v>
      </c>
      <c r="H401" s="1" t="s">
        <v>19</v>
      </c>
      <c r="I401">
        <v>3</v>
      </c>
      <c r="J401">
        <v>28697.85</v>
      </c>
      <c r="K401" s="1" t="s">
        <v>15</v>
      </c>
      <c r="L401" s="1">
        <f>customer_project_data_500_rows[[#This Row],[Quantity]]*customer_project_data_500_rows[[#This Row],[Price]]</f>
        <v>86093.549999999988</v>
      </c>
    </row>
    <row r="402" spans="1:12" x14ac:dyDescent="0.3">
      <c r="A402">
        <v>1401</v>
      </c>
      <c r="B402" s="1" t="s">
        <v>431</v>
      </c>
      <c r="C402" s="1" t="s">
        <v>42</v>
      </c>
      <c r="D402">
        <v>19</v>
      </c>
      <c r="E402" s="1" t="s">
        <v>36</v>
      </c>
      <c r="F402" s="2">
        <v>45509</v>
      </c>
      <c r="G402" s="1" t="s">
        <v>22</v>
      </c>
      <c r="H402" s="1" t="s">
        <v>19</v>
      </c>
      <c r="I402">
        <v>3</v>
      </c>
      <c r="J402">
        <v>12625.07</v>
      </c>
      <c r="K402" s="1" t="s">
        <v>15</v>
      </c>
      <c r="L402" s="1">
        <f>customer_project_data_500_rows[[#This Row],[Quantity]]*customer_project_data_500_rows[[#This Row],[Price]]</f>
        <v>37875.21</v>
      </c>
    </row>
    <row r="403" spans="1:12" x14ac:dyDescent="0.3">
      <c r="A403">
        <v>1402</v>
      </c>
      <c r="B403" s="1" t="s">
        <v>432</v>
      </c>
      <c r="C403" s="1" t="s">
        <v>42</v>
      </c>
      <c r="D403">
        <v>38</v>
      </c>
      <c r="E403" s="1" t="s">
        <v>12</v>
      </c>
      <c r="F403" s="2">
        <v>44935</v>
      </c>
      <c r="G403" s="1" t="s">
        <v>18</v>
      </c>
      <c r="H403" s="1" t="s">
        <v>19</v>
      </c>
      <c r="I403">
        <v>4</v>
      </c>
      <c r="J403">
        <v>2459.11</v>
      </c>
      <c r="K403" s="1" t="s">
        <v>39</v>
      </c>
      <c r="L403" s="1">
        <f>customer_project_data_500_rows[[#This Row],[Quantity]]*customer_project_data_500_rows[[#This Row],[Price]]</f>
        <v>9836.44</v>
      </c>
    </row>
    <row r="404" spans="1:12" x14ac:dyDescent="0.3">
      <c r="A404">
        <v>1403</v>
      </c>
      <c r="B404" s="1" t="s">
        <v>433</v>
      </c>
      <c r="C404" s="1" t="s">
        <v>532</v>
      </c>
      <c r="D404">
        <v>32</v>
      </c>
      <c r="E404" s="1" t="s">
        <v>32</v>
      </c>
      <c r="F404" s="2">
        <v>45598</v>
      </c>
      <c r="G404" s="1" t="s">
        <v>34</v>
      </c>
      <c r="H404" s="1" t="s">
        <v>23</v>
      </c>
      <c r="I404">
        <v>4</v>
      </c>
      <c r="J404">
        <v>39512.94</v>
      </c>
      <c r="K404" s="1" t="s">
        <v>15</v>
      </c>
      <c r="L404" s="1">
        <f>customer_project_data_500_rows[[#This Row],[Quantity]]*customer_project_data_500_rows[[#This Row],[Price]]</f>
        <v>158051.76</v>
      </c>
    </row>
    <row r="405" spans="1:12" x14ac:dyDescent="0.3">
      <c r="A405">
        <v>1404</v>
      </c>
      <c r="B405" s="1" t="s">
        <v>434</v>
      </c>
      <c r="C405" s="1" t="s">
        <v>531</v>
      </c>
      <c r="D405">
        <v>59</v>
      </c>
      <c r="E405" s="1" t="s">
        <v>32</v>
      </c>
      <c r="F405" s="2">
        <v>45464</v>
      </c>
      <c r="G405" s="1" t="s">
        <v>22</v>
      </c>
      <c r="H405" s="1" t="s">
        <v>19</v>
      </c>
      <c r="I405">
        <v>5</v>
      </c>
      <c r="J405">
        <v>14002.03</v>
      </c>
      <c r="K405" s="1" t="s">
        <v>15</v>
      </c>
      <c r="L405" s="1">
        <f>customer_project_data_500_rows[[#This Row],[Quantity]]*customer_project_data_500_rows[[#This Row],[Price]]</f>
        <v>70010.150000000009</v>
      </c>
    </row>
    <row r="406" spans="1:12" x14ac:dyDescent="0.3">
      <c r="A406">
        <v>1405</v>
      </c>
      <c r="B406" s="1" t="s">
        <v>435</v>
      </c>
      <c r="C406" s="1" t="s">
        <v>532</v>
      </c>
      <c r="D406">
        <v>22</v>
      </c>
      <c r="E406" s="1" t="s">
        <v>36</v>
      </c>
      <c r="F406" s="2">
        <v>45345</v>
      </c>
      <c r="G406" s="1" t="s">
        <v>22</v>
      </c>
      <c r="H406" s="1" t="s">
        <v>23</v>
      </c>
      <c r="I406">
        <v>5</v>
      </c>
      <c r="J406">
        <v>38964.99</v>
      </c>
      <c r="K406" s="1" t="s">
        <v>20</v>
      </c>
      <c r="L406" s="1">
        <f>customer_project_data_500_rows[[#This Row],[Quantity]]*customer_project_data_500_rows[[#This Row],[Price]]</f>
        <v>194824.94999999998</v>
      </c>
    </row>
    <row r="407" spans="1:12" x14ac:dyDescent="0.3">
      <c r="A407">
        <v>1406</v>
      </c>
      <c r="B407" s="1" t="s">
        <v>436</v>
      </c>
      <c r="C407" s="1" t="s">
        <v>531</v>
      </c>
      <c r="D407">
        <v>43</v>
      </c>
      <c r="E407" s="1" t="s">
        <v>29</v>
      </c>
      <c r="F407" s="2">
        <v>45301</v>
      </c>
      <c r="G407" s="1" t="s">
        <v>18</v>
      </c>
      <c r="H407" s="1" t="s">
        <v>14</v>
      </c>
      <c r="I407">
        <v>2</v>
      </c>
      <c r="J407">
        <v>24666.34</v>
      </c>
      <c r="K407" s="1" t="s">
        <v>39</v>
      </c>
      <c r="L407" s="1">
        <f>customer_project_data_500_rows[[#This Row],[Quantity]]*customer_project_data_500_rows[[#This Row],[Price]]</f>
        <v>49332.68</v>
      </c>
    </row>
    <row r="408" spans="1:12" x14ac:dyDescent="0.3">
      <c r="A408">
        <v>1407</v>
      </c>
      <c r="B408" s="1" t="s">
        <v>437</v>
      </c>
      <c r="C408" s="1" t="s">
        <v>42</v>
      </c>
      <c r="D408">
        <v>37</v>
      </c>
      <c r="E408" s="1" t="s">
        <v>12</v>
      </c>
      <c r="F408" s="2">
        <v>45432</v>
      </c>
      <c r="G408" s="1" t="s">
        <v>18</v>
      </c>
      <c r="H408" s="1" t="s">
        <v>14</v>
      </c>
      <c r="I408">
        <v>1</v>
      </c>
      <c r="J408">
        <v>16237.83</v>
      </c>
      <c r="K408" s="1" t="s">
        <v>20</v>
      </c>
      <c r="L408" s="1">
        <f>customer_project_data_500_rows[[#This Row],[Quantity]]*customer_project_data_500_rows[[#This Row],[Price]]</f>
        <v>16237.83</v>
      </c>
    </row>
    <row r="409" spans="1:12" x14ac:dyDescent="0.3">
      <c r="A409">
        <v>1408</v>
      </c>
      <c r="B409" s="1" t="s">
        <v>438</v>
      </c>
      <c r="C409" s="1" t="s">
        <v>42</v>
      </c>
      <c r="D409">
        <v>45</v>
      </c>
      <c r="E409" s="1" t="s">
        <v>36</v>
      </c>
      <c r="F409" s="2">
        <v>45152</v>
      </c>
      <c r="G409" s="1" t="s">
        <v>25</v>
      </c>
      <c r="H409" s="1" t="s">
        <v>23</v>
      </c>
      <c r="I409">
        <v>5</v>
      </c>
      <c r="J409">
        <v>16044.26</v>
      </c>
      <c r="K409" s="1" t="s">
        <v>37</v>
      </c>
      <c r="L409" s="1">
        <f>customer_project_data_500_rows[[#This Row],[Quantity]]*customer_project_data_500_rows[[#This Row],[Price]]</f>
        <v>80221.3</v>
      </c>
    </row>
    <row r="410" spans="1:12" x14ac:dyDescent="0.3">
      <c r="A410">
        <v>1409</v>
      </c>
      <c r="B410" s="1" t="s">
        <v>439</v>
      </c>
      <c r="C410" s="1" t="s">
        <v>532</v>
      </c>
      <c r="D410">
        <v>46</v>
      </c>
      <c r="E410" s="1" t="s">
        <v>17</v>
      </c>
      <c r="F410" s="2">
        <v>45291</v>
      </c>
      <c r="G410" s="1" t="s">
        <v>30</v>
      </c>
      <c r="H410" s="1" t="s">
        <v>14</v>
      </c>
      <c r="I410">
        <v>1</v>
      </c>
      <c r="J410">
        <v>2580.23</v>
      </c>
      <c r="K410" s="1" t="s">
        <v>15</v>
      </c>
      <c r="L410" s="1">
        <f>customer_project_data_500_rows[[#This Row],[Quantity]]*customer_project_data_500_rows[[#This Row],[Price]]</f>
        <v>2580.23</v>
      </c>
    </row>
    <row r="411" spans="1:12" x14ac:dyDescent="0.3">
      <c r="A411">
        <v>1410</v>
      </c>
      <c r="B411" s="1" t="s">
        <v>440</v>
      </c>
      <c r="C411" s="1" t="s">
        <v>42</v>
      </c>
      <c r="D411">
        <v>26</v>
      </c>
      <c r="E411" s="1" t="s">
        <v>29</v>
      </c>
      <c r="F411" s="2">
        <v>45188</v>
      </c>
      <c r="G411" s="1" t="s">
        <v>13</v>
      </c>
      <c r="H411" s="1" t="s">
        <v>23</v>
      </c>
      <c r="I411">
        <v>2</v>
      </c>
      <c r="J411">
        <v>26952.79</v>
      </c>
      <c r="K411" s="1" t="s">
        <v>26</v>
      </c>
      <c r="L411" s="1">
        <f>customer_project_data_500_rows[[#This Row],[Quantity]]*customer_project_data_500_rows[[#This Row],[Price]]</f>
        <v>53905.58</v>
      </c>
    </row>
    <row r="412" spans="1:12" x14ac:dyDescent="0.3">
      <c r="A412">
        <v>1411</v>
      </c>
      <c r="B412" s="1" t="s">
        <v>441</v>
      </c>
      <c r="C412" s="1" t="s">
        <v>42</v>
      </c>
      <c r="D412">
        <v>63</v>
      </c>
      <c r="E412" s="1" t="s">
        <v>17</v>
      </c>
      <c r="F412" s="2">
        <v>45374</v>
      </c>
      <c r="G412" s="1" t="s">
        <v>30</v>
      </c>
      <c r="H412" s="1" t="s">
        <v>23</v>
      </c>
      <c r="I412">
        <v>4</v>
      </c>
      <c r="J412">
        <v>41265.800000000003</v>
      </c>
      <c r="K412" s="1" t="s">
        <v>26</v>
      </c>
      <c r="L412" s="1">
        <f>customer_project_data_500_rows[[#This Row],[Quantity]]*customer_project_data_500_rows[[#This Row],[Price]]</f>
        <v>165063.20000000001</v>
      </c>
    </row>
    <row r="413" spans="1:12" x14ac:dyDescent="0.3">
      <c r="A413">
        <v>1412</v>
      </c>
      <c r="B413" s="1" t="s">
        <v>442</v>
      </c>
      <c r="C413" s="1" t="s">
        <v>42</v>
      </c>
      <c r="D413">
        <v>30</v>
      </c>
      <c r="E413" s="1" t="s">
        <v>36</v>
      </c>
      <c r="F413" s="2">
        <v>45555</v>
      </c>
      <c r="G413" s="1" t="s">
        <v>34</v>
      </c>
      <c r="H413" s="1" t="s">
        <v>19</v>
      </c>
      <c r="I413">
        <v>4</v>
      </c>
      <c r="J413">
        <v>4652.82</v>
      </c>
      <c r="K413" s="1" t="s">
        <v>39</v>
      </c>
      <c r="L413" s="1">
        <f>customer_project_data_500_rows[[#This Row],[Quantity]]*customer_project_data_500_rows[[#This Row],[Price]]</f>
        <v>18611.28</v>
      </c>
    </row>
    <row r="414" spans="1:12" x14ac:dyDescent="0.3">
      <c r="A414">
        <v>1413</v>
      </c>
      <c r="B414" s="1" t="s">
        <v>443</v>
      </c>
      <c r="C414" s="1" t="s">
        <v>42</v>
      </c>
      <c r="D414">
        <v>64</v>
      </c>
      <c r="E414" s="1" t="s">
        <v>29</v>
      </c>
      <c r="F414" s="2">
        <v>45028</v>
      </c>
      <c r="G414" s="1" t="s">
        <v>34</v>
      </c>
      <c r="H414" s="1" t="s">
        <v>23</v>
      </c>
      <c r="I414">
        <v>5</v>
      </c>
      <c r="J414">
        <v>5873.66</v>
      </c>
      <c r="K414" s="1" t="s">
        <v>37</v>
      </c>
      <c r="L414" s="1">
        <f>customer_project_data_500_rows[[#This Row],[Quantity]]*customer_project_data_500_rows[[#This Row],[Price]]</f>
        <v>29368.3</v>
      </c>
    </row>
    <row r="415" spans="1:12" x14ac:dyDescent="0.3">
      <c r="A415">
        <v>1414</v>
      </c>
      <c r="B415" s="1" t="s">
        <v>444</v>
      </c>
      <c r="C415" s="1" t="s">
        <v>532</v>
      </c>
      <c r="D415">
        <v>29</v>
      </c>
      <c r="E415" s="1" t="s">
        <v>32</v>
      </c>
      <c r="F415" s="2">
        <v>45021</v>
      </c>
      <c r="G415" s="1" t="s">
        <v>13</v>
      </c>
      <c r="H415" s="1" t="s">
        <v>19</v>
      </c>
      <c r="I415">
        <v>1</v>
      </c>
      <c r="J415">
        <v>26698.17</v>
      </c>
      <c r="K415" s="1" t="s">
        <v>37</v>
      </c>
      <c r="L415" s="1">
        <f>customer_project_data_500_rows[[#This Row],[Quantity]]*customer_project_data_500_rows[[#This Row],[Price]]</f>
        <v>26698.17</v>
      </c>
    </row>
    <row r="416" spans="1:12" x14ac:dyDescent="0.3">
      <c r="A416">
        <v>1415</v>
      </c>
      <c r="B416" s="1" t="s">
        <v>445</v>
      </c>
      <c r="C416" s="1" t="s">
        <v>531</v>
      </c>
      <c r="D416">
        <v>26</v>
      </c>
      <c r="E416" s="1" t="s">
        <v>36</v>
      </c>
      <c r="F416" s="2">
        <v>44951</v>
      </c>
      <c r="G416" s="1" t="s">
        <v>18</v>
      </c>
      <c r="H416" s="1" t="s">
        <v>19</v>
      </c>
      <c r="I416">
        <v>3</v>
      </c>
      <c r="J416">
        <v>33177.019999999997</v>
      </c>
      <c r="K416" s="1" t="s">
        <v>39</v>
      </c>
      <c r="L416" s="1">
        <f>customer_project_data_500_rows[[#This Row],[Quantity]]*customer_project_data_500_rows[[#This Row],[Price]]</f>
        <v>99531.06</v>
      </c>
    </row>
    <row r="417" spans="1:12" x14ac:dyDescent="0.3">
      <c r="A417">
        <v>1416</v>
      </c>
      <c r="B417" s="1" t="s">
        <v>446</v>
      </c>
      <c r="C417" s="1" t="s">
        <v>42</v>
      </c>
      <c r="D417">
        <v>28</v>
      </c>
      <c r="E417" s="1" t="s">
        <v>32</v>
      </c>
      <c r="F417" s="2">
        <v>45101</v>
      </c>
      <c r="G417" s="1" t="s">
        <v>13</v>
      </c>
      <c r="H417" s="1" t="s">
        <v>19</v>
      </c>
      <c r="I417">
        <v>3</v>
      </c>
      <c r="J417">
        <v>34889.93</v>
      </c>
      <c r="K417" s="1" t="s">
        <v>39</v>
      </c>
      <c r="L417" s="1">
        <f>customer_project_data_500_rows[[#This Row],[Quantity]]*customer_project_data_500_rows[[#This Row],[Price]]</f>
        <v>104669.79000000001</v>
      </c>
    </row>
    <row r="418" spans="1:12" x14ac:dyDescent="0.3">
      <c r="A418">
        <v>1417</v>
      </c>
      <c r="B418" s="1" t="s">
        <v>447</v>
      </c>
      <c r="C418" s="1" t="s">
        <v>532</v>
      </c>
      <c r="D418">
        <v>41</v>
      </c>
      <c r="E418" s="1" t="s">
        <v>36</v>
      </c>
      <c r="F418" s="2">
        <v>45459</v>
      </c>
      <c r="G418" s="1" t="s">
        <v>13</v>
      </c>
      <c r="H418" s="1" t="s">
        <v>23</v>
      </c>
      <c r="I418">
        <v>4</v>
      </c>
      <c r="J418">
        <v>16004.47</v>
      </c>
      <c r="K418" s="1" t="s">
        <v>39</v>
      </c>
      <c r="L418" s="1">
        <f>customer_project_data_500_rows[[#This Row],[Quantity]]*customer_project_data_500_rows[[#This Row],[Price]]</f>
        <v>64017.88</v>
      </c>
    </row>
    <row r="419" spans="1:12" x14ac:dyDescent="0.3">
      <c r="A419">
        <v>1418</v>
      </c>
      <c r="B419" s="1" t="s">
        <v>448</v>
      </c>
      <c r="C419" s="1" t="s">
        <v>532</v>
      </c>
      <c r="D419">
        <v>42</v>
      </c>
      <c r="E419" s="1" t="s">
        <v>29</v>
      </c>
      <c r="F419" s="2">
        <v>44949</v>
      </c>
      <c r="G419" s="1" t="s">
        <v>30</v>
      </c>
      <c r="H419" s="1" t="s">
        <v>23</v>
      </c>
      <c r="I419">
        <v>3</v>
      </c>
      <c r="J419">
        <v>2370</v>
      </c>
      <c r="K419" s="1" t="s">
        <v>37</v>
      </c>
      <c r="L419" s="1">
        <f>customer_project_data_500_rows[[#This Row],[Quantity]]*customer_project_data_500_rows[[#This Row],[Price]]</f>
        <v>7110</v>
      </c>
    </row>
    <row r="420" spans="1:12" x14ac:dyDescent="0.3">
      <c r="A420">
        <v>1419</v>
      </c>
      <c r="B420" s="1" t="s">
        <v>449</v>
      </c>
      <c r="C420" s="1" t="s">
        <v>531</v>
      </c>
      <c r="D420">
        <v>43</v>
      </c>
      <c r="E420" s="1" t="s">
        <v>29</v>
      </c>
      <c r="F420" s="2">
        <v>45055</v>
      </c>
      <c r="G420" s="1" t="s">
        <v>13</v>
      </c>
      <c r="H420" s="1" t="s">
        <v>23</v>
      </c>
      <c r="I420">
        <v>3</v>
      </c>
      <c r="J420">
        <v>21020.86</v>
      </c>
      <c r="K420" s="1" t="s">
        <v>26</v>
      </c>
      <c r="L420" s="1">
        <f>customer_project_data_500_rows[[#This Row],[Quantity]]*customer_project_data_500_rows[[#This Row],[Price]]</f>
        <v>63062.58</v>
      </c>
    </row>
    <row r="421" spans="1:12" x14ac:dyDescent="0.3">
      <c r="A421">
        <v>1420</v>
      </c>
      <c r="B421" s="1" t="s">
        <v>450</v>
      </c>
      <c r="C421" s="1" t="s">
        <v>531</v>
      </c>
      <c r="D421">
        <v>36</v>
      </c>
      <c r="E421" s="1" t="s">
        <v>29</v>
      </c>
      <c r="F421" s="2">
        <v>45461</v>
      </c>
      <c r="G421" s="1" t="s">
        <v>34</v>
      </c>
      <c r="H421" s="1" t="s">
        <v>19</v>
      </c>
      <c r="I421">
        <v>1</v>
      </c>
      <c r="J421">
        <v>11689.19</v>
      </c>
      <c r="K421" s="1" t="s">
        <v>15</v>
      </c>
      <c r="L421" s="1">
        <f>customer_project_data_500_rows[[#This Row],[Quantity]]*customer_project_data_500_rows[[#This Row],[Price]]</f>
        <v>11689.19</v>
      </c>
    </row>
    <row r="422" spans="1:12" x14ac:dyDescent="0.3">
      <c r="A422">
        <v>1421</v>
      </c>
      <c r="B422" s="1" t="s">
        <v>451</v>
      </c>
      <c r="C422" s="1" t="s">
        <v>531</v>
      </c>
      <c r="D422">
        <v>36</v>
      </c>
      <c r="E422" s="1" t="s">
        <v>32</v>
      </c>
      <c r="F422" s="2">
        <v>45594</v>
      </c>
      <c r="G422" s="1" t="s">
        <v>13</v>
      </c>
      <c r="H422" s="1" t="s">
        <v>14</v>
      </c>
      <c r="I422">
        <v>4</v>
      </c>
      <c r="J422">
        <v>555.17999999999995</v>
      </c>
      <c r="K422" s="1" t="s">
        <v>26</v>
      </c>
      <c r="L422" s="1">
        <f>customer_project_data_500_rows[[#This Row],[Quantity]]*customer_project_data_500_rows[[#This Row],[Price]]</f>
        <v>2220.7199999999998</v>
      </c>
    </row>
    <row r="423" spans="1:12" x14ac:dyDescent="0.3">
      <c r="A423">
        <v>1422</v>
      </c>
      <c r="B423" s="1" t="s">
        <v>452</v>
      </c>
      <c r="C423" s="1" t="s">
        <v>532</v>
      </c>
      <c r="D423">
        <v>23</v>
      </c>
      <c r="E423" s="1" t="s">
        <v>29</v>
      </c>
      <c r="F423" s="2">
        <v>45156</v>
      </c>
      <c r="G423" s="1" t="s">
        <v>25</v>
      </c>
      <c r="H423" s="1" t="s">
        <v>23</v>
      </c>
      <c r="I423">
        <v>4</v>
      </c>
      <c r="J423">
        <v>34442.97</v>
      </c>
      <c r="K423" s="1" t="s">
        <v>37</v>
      </c>
      <c r="L423" s="1">
        <f>customer_project_data_500_rows[[#This Row],[Quantity]]*customer_project_data_500_rows[[#This Row],[Price]]</f>
        <v>137771.88</v>
      </c>
    </row>
    <row r="424" spans="1:12" x14ac:dyDescent="0.3">
      <c r="A424">
        <v>1423</v>
      </c>
      <c r="B424" s="1" t="s">
        <v>453</v>
      </c>
      <c r="C424" s="1" t="s">
        <v>42</v>
      </c>
      <c r="D424">
        <v>60</v>
      </c>
      <c r="E424" s="1" t="s">
        <v>29</v>
      </c>
      <c r="F424" s="2">
        <v>45039</v>
      </c>
      <c r="G424" s="1" t="s">
        <v>18</v>
      </c>
      <c r="H424" s="1" t="s">
        <v>19</v>
      </c>
      <c r="I424">
        <v>3</v>
      </c>
      <c r="J424">
        <v>47627.1</v>
      </c>
      <c r="K424" s="1" t="s">
        <v>26</v>
      </c>
      <c r="L424" s="1">
        <f>customer_project_data_500_rows[[#This Row],[Quantity]]*customer_project_data_500_rows[[#This Row],[Price]]</f>
        <v>142881.29999999999</v>
      </c>
    </row>
    <row r="425" spans="1:12" x14ac:dyDescent="0.3">
      <c r="A425">
        <v>1424</v>
      </c>
      <c r="B425" s="1" t="s">
        <v>454</v>
      </c>
      <c r="C425" s="1" t="s">
        <v>42</v>
      </c>
      <c r="D425">
        <v>64</v>
      </c>
      <c r="E425" s="1" t="s">
        <v>36</v>
      </c>
      <c r="F425" s="2">
        <v>45411</v>
      </c>
      <c r="G425" s="1" t="s">
        <v>25</v>
      </c>
      <c r="H425" s="1" t="s">
        <v>14</v>
      </c>
      <c r="I425">
        <v>1</v>
      </c>
      <c r="J425">
        <v>19862.009999999998</v>
      </c>
      <c r="K425" s="1" t="s">
        <v>20</v>
      </c>
      <c r="L425" s="1">
        <f>customer_project_data_500_rows[[#This Row],[Quantity]]*customer_project_data_500_rows[[#This Row],[Price]]</f>
        <v>19862.009999999998</v>
      </c>
    </row>
    <row r="426" spans="1:12" x14ac:dyDescent="0.3">
      <c r="A426">
        <v>1425</v>
      </c>
      <c r="B426" s="1" t="s">
        <v>455</v>
      </c>
      <c r="C426" s="1" t="s">
        <v>42</v>
      </c>
      <c r="D426">
        <v>39</v>
      </c>
      <c r="E426" s="1" t="s">
        <v>36</v>
      </c>
      <c r="F426" s="2">
        <v>45503</v>
      </c>
      <c r="G426" s="1" t="s">
        <v>18</v>
      </c>
      <c r="H426" s="1" t="s">
        <v>14</v>
      </c>
      <c r="I426">
        <v>4</v>
      </c>
      <c r="J426">
        <v>15364.77</v>
      </c>
      <c r="K426" s="1" t="s">
        <v>39</v>
      </c>
      <c r="L426" s="1">
        <f>customer_project_data_500_rows[[#This Row],[Quantity]]*customer_project_data_500_rows[[#This Row],[Price]]</f>
        <v>61459.08</v>
      </c>
    </row>
    <row r="427" spans="1:12" x14ac:dyDescent="0.3">
      <c r="A427">
        <v>1426</v>
      </c>
      <c r="B427" s="1" t="s">
        <v>456</v>
      </c>
      <c r="C427" s="1" t="s">
        <v>532</v>
      </c>
      <c r="D427">
        <v>27</v>
      </c>
      <c r="E427" s="1" t="s">
        <v>12</v>
      </c>
      <c r="F427" s="2">
        <v>44972</v>
      </c>
      <c r="G427" s="1" t="s">
        <v>30</v>
      </c>
      <c r="H427" s="1" t="s">
        <v>23</v>
      </c>
      <c r="I427">
        <v>5</v>
      </c>
      <c r="J427">
        <v>27910.71</v>
      </c>
      <c r="K427" s="1" t="s">
        <v>20</v>
      </c>
      <c r="L427" s="1">
        <f>customer_project_data_500_rows[[#This Row],[Quantity]]*customer_project_data_500_rows[[#This Row],[Price]]</f>
        <v>139553.54999999999</v>
      </c>
    </row>
    <row r="428" spans="1:12" x14ac:dyDescent="0.3">
      <c r="A428">
        <v>1427</v>
      </c>
      <c r="B428" s="1" t="s">
        <v>457</v>
      </c>
      <c r="C428" s="1" t="s">
        <v>42</v>
      </c>
      <c r="D428">
        <v>60</v>
      </c>
      <c r="E428" s="1" t="s">
        <v>17</v>
      </c>
      <c r="F428" s="2">
        <v>44965</v>
      </c>
      <c r="G428" s="1" t="s">
        <v>25</v>
      </c>
      <c r="H428" s="1" t="s">
        <v>23</v>
      </c>
      <c r="I428">
        <v>3</v>
      </c>
      <c r="J428">
        <v>42672.82</v>
      </c>
      <c r="K428" s="1" t="s">
        <v>26</v>
      </c>
      <c r="L428" s="1">
        <f>customer_project_data_500_rows[[#This Row],[Quantity]]*customer_project_data_500_rows[[#This Row],[Price]]</f>
        <v>128018.45999999999</v>
      </c>
    </row>
    <row r="429" spans="1:12" x14ac:dyDescent="0.3">
      <c r="A429">
        <v>1428</v>
      </c>
      <c r="B429" s="1" t="s">
        <v>458</v>
      </c>
      <c r="C429" s="1" t="s">
        <v>532</v>
      </c>
      <c r="D429">
        <v>31</v>
      </c>
      <c r="E429" s="1" t="s">
        <v>12</v>
      </c>
      <c r="F429" s="2">
        <v>45624</v>
      </c>
      <c r="G429" s="1" t="s">
        <v>22</v>
      </c>
      <c r="H429" s="1" t="s">
        <v>14</v>
      </c>
      <c r="I429">
        <v>1</v>
      </c>
      <c r="J429">
        <v>39850.89</v>
      </c>
      <c r="K429" s="1" t="s">
        <v>26</v>
      </c>
      <c r="L429" s="1">
        <f>customer_project_data_500_rows[[#This Row],[Quantity]]*customer_project_data_500_rows[[#This Row],[Price]]</f>
        <v>39850.89</v>
      </c>
    </row>
    <row r="430" spans="1:12" x14ac:dyDescent="0.3">
      <c r="A430">
        <v>1429</v>
      </c>
      <c r="B430" s="1" t="s">
        <v>459</v>
      </c>
      <c r="C430" s="1" t="s">
        <v>532</v>
      </c>
      <c r="D430">
        <v>36</v>
      </c>
      <c r="E430" s="1" t="s">
        <v>32</v>
      </c>
      <c r="F430" s="2">
        <v>44979</v>
      </c>
      <c r="G430" s="1" t="s">
        <v>25</v>
      </c>
      <c r="H430" s="1" t="s">
        <v>19</v>
      </c>
      <c r="I430">
        <v>4</v>
      </c>
      <c r="J430">
        <v>34395.46</v>
      </c>
      <c r="K430" s="1" t="s">
        <v>15</v>
      </c>
      <c r="L430" s="1">
        <f>customer_project_data_500_rows[[#This Row],[Quantity]]*customer_project_data_500_rows[[#This Row],[Price]]</f>
        <v>137581.84</v>
      </c>
    </row>
    <row r="431" spans="1:12" x14ac:dyDescent="0.3">
      <c r="A431">
        <v>1430</v>
      </c>
      <c r="B431" s="1" t="s">
        <v>460</v>
      </c>
      <c r="C431" s="1" t="s">
        <v>42</v>
      </c>
      <c r="D431">
        <v>41</v>
      </c>
      <c r="E431" s="1" t="s">
        <v>12</v>
      </c>
      <c r="F431" s="2">
        <v>45215</v>
      </c>
      <c r="G431" s="1" t="s">
        <v>34</v>
      </c>
      <c r="H431" s="1" t="s">
        <v>14</v>
      </c>
      <c r="I431">
        <v>4</v>
      </c>
      <c r="J431">
        <v>21889.3</v>
      </c>
      <c r="K431" s="1" t="s">
        <v>37</v>
      </c>
      <c r="L431" s="1">
        <f>customer_project_data_500_rows[[#This Row],[Quantity]]*customer_project_data_500_rows[[#This Row],[Price]]</f>
        <v>87557.2</v>
      </c>
    </row>
    <row r="432" spans="1:12" x14ac:dyDescent="0.3">
      <c r="A432">
        <v>1431</v>
      </c>
      <c r="B432" s="1" t="s">
        <v>461</v>
      </c>
      <c r="C432" s="1" t="s">
        <v>531</v>
      </c>
      <c r="D432">
        <v>63</v>
      </c>
      <c r="E432" s="1" t="s">
        <v>32</v>
      </c>
      <c r="F432" s="2">
        <v>45134</v>
      </c>
      <c r="G432" s="1" t="s">
        <v>30</v>
      </c>
      <c r="H432" s="1" t="s">
        <v>14</v>
      </c>
      <c r="I432">
        <v>1</v>
      </c>
      <c r="J432">
        <v>34676.480000000003</v>
      </c>
      <c r="K432" s="1" t="s">
        <v>39</v>
      </c>
      <c r="L432" s="1">
        <f>customer_project_data_500_rows[[#This Row],[Quantity]]*customer_project_data_500_rows[[#This Row],[Price]]</f>
        <v>34676.480000000003</v>
      </c>
    </row>
    <row r="433" spans="1:12" x14ac:dyDescent="0.3">
      <c r="A433">
        <v>1432</v>
      </c>
      <c r="B433" s="1" t="s">
        <v>462</v>
      </c>
      <c r="C433" s="1" t="s">
        <v>42</v>
      </c>
      <c r="D433">
        <v>49</v>
      </c>
      <c r="E433" s="1" t="s">
        <v>36</v>
      </c>
      <c r="F433" s="2">
        <v>45316</v>
      </c>
      <c r="G433" s="1" t="s">
        <v>25</v>
      </c>
      <c r="H433" s="1" t="s">
        <v>14</v>
      </c>
      <c r="I433">
        <v>5</v>
      </c>
      <c r="J433">
        <v>11193.25</v>
      </c>
      <c r="K433" s="1" t="s">
        <v>20</v>
      </c>
      <c r="L433" s="1">
        <f>customer_project_data_500_rows[[#This Row],[Quantity]]*customer_project_data_500_rows[[#This Row],[Price]]</f>
        <v>55966.25</v>
      </c>
    </row>
    <row r="434" spans="1:12" x14ac:dyDescent="0.3">
      <c r="A434">
        <v>1433</v>
      </c>
      <c r="B434" s="1" t="s">
        <v>463</v>
      </c>
      <c r="C434" s="1" t="s">
        <v>42</v>
      </c>
      <c r="D434">
        <v>51</v>
      </c>
      <c r="E434" s="1" t="s">
        <v>29</v>
      </c>
      <c r="F434" s="2">
        <v>45088</v>
      </c>
      <c r="G434" s="1" t="s">
        <v>18</v>
      </c>
      <c r="H434" s="1" t="s">
        <v>19</v>
      </c>
      <c r="I434">
        <v>3</v>
      </c>
      <c r="J434">
        <v>14555.2</v>
      </c>
      <c r="K434" s="1" t="s">
        <v>20</v>
      </c>
      <c r="L434" s="1">
        <f>customer_project_data_500_rows[[#This Row],[Quantity]]*customer_project_data_500_rows[[#This Row],[Price]]</f>
        <v>43665.600000000006</v>
      </c>
    </row>
    <row r="435" spans="1:12" x14ac:dyDescent="0.3">
      <c r="A435">
        <v>1434</v>
      </c>
      <c r="B435" s="1" t="s">
        <v>464</v>
      </c>
      <c r="C435" s="1" t="s">
        <v>532</v>
      </c>
      <c r="D435">
        <v>32</v>
      </c>
      <c r="E435" s="1" t="s">
        <v>36</v>
      </c>
      <c r="F435" s="2">
        <v>45375</v>
      </c>
      <c r="G435" s="1" t="s">
        <v>30</v>
      </c>
      <c r="H435" s="1" t="s">
        <v>14</v>
      </c>
      <c r="I435">
        <v>4</v>
      </c>
      <c r="J435">
        <v>39002.120000000003</v>
      </c>
      <c r="K435" s="1" t="s">
        <v>37</v>
      </c>
      <c r="L435" s="1">
        <f>customer_project_data_500_rows[[#This Row],[Quantity]]*customer_project_data_500_rows[[#This Row],[Price]]</f>
        <v>156008.48000000001</v>
      </c>
    </row>
    <row r="436" spans="1:12" x14ac:dyDescent="0.3">
      <c r="A436">
        <v>1435</v>
      </c>
      <c r="B436" s="1" t="s">
        <v>465</v>
      </c>
      <c r="C436" s="1" t="s">
        <v>42</v>
      </c>
      <c r="D436">
        <v>58</v>
      </c>
      <c r="E436" s="1" t="s">
        <v>36</v>
      </c>
      <c r="F436" s="2">
        <v>45364</v>
      </c>
      <c r="G436" s="1" t="s">
        <v>22</v>
      </c>
      <c r="H436" s="1" t="s">
        <v>19</v>
      </c>
      <c r="I436">
        <v>3</v>
      </c>
      <c r="J436">
        <v>46534.02</v>
      </c>
      <c r="K436" s="1" t="s">
        <v>15</v>
      </c>
      <c r="L436" s="1">
        <f>customer_project_data_500_rows[[#This Row],[Quantity]]*customer_project_data_500_rows[[#This Row],[Price]]</f>
        <v>139602.06</v>
      </c>
    </row>
    <row r="437" spans="1:12" x14ac:dyDescent="0.3">
      <c r="A437">
        <v>1436</v>
      </c>
      <c r="B437" s="1" t="s">
        <v>466</v>
      </c>
      <c r="C437" s="1" t="s">
        <v>531</v>
      </c>
      <c r="D437">
        <v>26</v>
      </c>
      <c r="E437" s="1" t="s">
        <v>36</v>
      </c>
      <c r="F437" s="2">
        <v>45492</v>
      </c>
      <c r="G437" s="1" t="s">
        <v>18</v>
      </c>
      <c r="H437" s="1" t="s">
        <v>23</v>
      </c>
      <c r="I437">
        <v>5</v>
      </c>
      <c r="J437">
        <v>9907.4500000000007</v>
      </c>
      <c r="K437" s="1" t="s">
        <v>15</v>
      </c>
      <c r="L437" s="1">
        <f>customer_project_data_500_rows[[#This Row],[Quantity]]*customer_project_data_500_rows[[#This Row],[Price]]</f>
        <v>49537.25</v>
      </c>
    </row>
    <row r="438" spans="1:12" x14ac:dyDescent="0.3">
      <c r="A438">
        <v>1437</v>
      </c>
      <c r="B438" s="1" t="s">
        <v>467</v>
      </c>
      <c r="C438" s="1" t="s">
        <v>42</v>
      </c>
      <c r="D438">
        <v>19</v>
      </c>
      <c r="E438" s="1" t="s">
        <v>17</v>
      </c>
      <c r="F438" s="2">
        <v>45364</v>
      </c>
      <c r="G438" s="1" t="s">
        <v>13</v>
      </c>
      <c r="H438" s="1" t="s">
        <v>19</v>
      </c>
      <c r="I438">
        <v>5</v>
      </c>
      <c r="J438">
        <v>15155.13</v>
      </c>
      <c r="K438" s="1" t="s">
        <v>15</v>
      </c>
      <c r="L438" s="1">
        <f>customer_project_data_500_rows[[#This Row],[Quantity]]*customer_project_data_500_rows[[#This Row],[Price]]</f>
        <v>75775.649999999994</v>
      </c>
    </row>
    <row r="439" spans="1:12" x14ac:dyDescent="0.3">
      <c r="A439">
        <v>1438</v>
      </c>
      <c r="B439" s="1" t="s">
        <v>468</v>
      </c>
      <c r="C439" s="1" t="s">
        <v>532</v>
      </c>
      <c r="D439">
        <v>40</v>
      </c>
      <c r="E439" s="1" t="s">
        <v>36</v>
      </c>
      <c r="F439" s="2">
        <v>45067</v>
      </c>
      <c r="G439" s="1" t="s">
        <v>18</v>
      </c>
      <c r="H439" s="1" t="s">
        <v>23</v>
      </c>
      <c r="I439">
        <v>2</v>
      </c>
      <c r="J439">
        <v>807.41</v>
      </c>
      <c r="K439" s="1" t="s">
        <v>26</v>
      </c>
      <c r="L439" s="1">
        <f>customer_project_data_500_rows[[#This Row],[Quantity]]*customer_project_data_500_rows[[#This Row],[Price]]</f>
        <v>1614.82</v>
      </c>
    </row>
    <row r="440" spans="1:12" x14ac:dyDescent="0.3">
      <c r="A440">
        <v>1439</v>
      </c>
      <c r="B440" s="1" t="s">
        <v>469</v>
      </c>
      <c r="C440" s="1" t="s">
        <v>42</v>
      </c>
      <c r="D440">
        <v>20</v>
      </c>
      <c r="E440" s="1" t="s">
        <v>12</v>
      </c>
      <c r="F440" s="2">
        <v>45437</v>
      </c>
      <c r="G440" s="1" t="s">
        <v>34</v>
      </c>
      <c r="H440" s="1" t="s">
        <v>23</v>
      </c>
      <c r="I440">
        <v>3</v>
      </c>
      <c r="J440">
        <v>21862.33</v>
      </c>
      <c r="K440" s="1" t="s">
        <v>37</v>
      </c>
      <c r="L440" s="1">
        <f>customer_project_data_500_rows[[#This Row],[Quantity]]*customer_project_data_500_rows[[#This Row],[Price]]</f>
        <v>65586.990000000005</v>
      </c>
    </row>
    <row r="441" spans="1:12" x14ac:dyDescent="0.3">
      <c r="A441">
        <v>1440</v>
      </c>
      <c r="B441" s="1" t="s">
        <v>470</v>
      </c>
      <c r="C441" s="1" t="s">
        <v>532</v>
      </c>
      <c r="D441">
        <v>40</v>
      </c>
      <c r="E441" s="1" t="s">
        <v>29</v>
      </c>
      <c r="F441" s="2">
        <v>45263</v>
      </c>
      <c r="G441" s="1" t="s">
        <v>34</v>
      </c>
      <c r="H441" s="1" t="s">
        <v>14</v>
      </c>
      <c r="I441">
        <v>3</v>
      </c>
      <c r="J441">
        <v>10909.61</v>
      </c>
      <c r="K441" s="1" t="s">
        <v>26</v>
      </c>
      <c r="L441" s="1">
        <f>customer_project_data_500_rows[[#This Row],[Quantity]]*customer_project_data_500_rows[[#This Row],[Price]]</f>
        <v>32728.83</v>
      </c>
    </row>
    <row r="442" spans="1:12" x14ac:dyDescent="0.3">
      <c r="A442">
        <v>1441</v>
      </c>
      <c r="B442" s="1" t="s">
        <v>471</v>
      </c>
      <c r="C442" s="1" t="s">
        <v>531</v>
      </c>
      <c r="D442">
        <v>19</v>
      </c>
      <c r="E442" s="1" t="s">
        <v>36</v>
      </c>
      <c r="F442" s="2">
        <v>45557</v>
      </c>
      <c r="G442" s="1" t="s">
        <v>18</v>
      </c>
      <c r="H442" s="1" t="s">
        <v>23</v>
      </c>
      <c r="I442">
        <v>4</v>
      </c>
      <c r="J442">
        <v>32250.53</v>
      </c>
      <c r="K442" s="1" t="s">
        <v>15</v>
      </c>
      <c r="L442" s="1">
        <f>customer_project_data_500_rows[[#This Row],[Quantity]]*customer_project_data_500_rows[[#This Row],[Price]]</f>
        <v>129002.12</v>
      </c>
    </row>
    <row r="443" spans="1:12" x14ac:dyDescent="0.3">
      <c r="A443">
        <v>1442</v>
      </c>
      <c r="B443" s="1" t="s">
        <v>472</v>
      </c>
      <c r="C443" s="1" t="s">
        <v>532</v>
      </c>
      <c r="D443">
        <v>26</v>
      </c>
      <c r="E443" s="1" t="s">
        <v>32</v>
      </c>
      <c r="F443" s="2">
        <v>45535</v>
      </c>
      <c r="G443" s="1" t="s">
        <v>34</v>
      </c>
      <c r="H443" s="1" t="s">
        <v>23</v>
      </c>
      <c r="I443">
        <v>1</v>
      </c>
      <c r="J443">
        <v>35624.67</v>
      </c>
      <c r="K443" s="1" t="s">
        <v>37</v>
      </c>
      <c r="L443" s="1">
        <f>customer_project_data_500_rows[[#This Row],[Quantity]]*customer_project_data_500_rows[[#This Row],[Price]]</f>
        <v>35624.67</v>
      </c>
    </row>
    <row r="444" spans="1:12" x14ac:dyDescent="0.3">
      <c r="A444">
        <v>1443</v>
      </c>
      <c r="B444" s="1" t="s">
        <v>473</v>
      </c>
      <c r="C444" s="1" t="s">
        <v>42</v>
      </c>
      <c r="D444">
        <v>25</v>
      </c>
      <c r="E444" s="1" t="s">
        <v>29</v>
      </c>
      <c r="F444" s="2">
        <v>45472</v>
      </c>
      <c r="G444" s="1" t="s">
        <v>30</v>
      </c>
      <c r="H444" s="1" t="s">
        <v>14</v>
      </c>
      <c r="I444">
        <v>4</v>
      </c>
      <c r="J444">
        <v>6379.5</v>
      </c>
      <c r="K444" s="1" t="s">
        <v>15</v>
      </c>
      <c r="L444" s="1">
        <f>customer_project_data_500_rows[[#This Row],[Quantity]]*customer_project_data_500_rows[[#This Row],[Price]]</f>
        <v>25518</v>
      </c>
    </row>
    <row r="445" spans="1:12" x14ac:dyDescent="0.3">
      <c r="A445">
        <v>1444</v>
      </c>
      <c r="B445" s="1" t="s">
        <v>474</v>
      </c>
      <c r="C445" s="1" t="s">
        <v>42</v>
      </c>
      <c r="D445">
        <v>41</v>
      </c>
      <c r="E445" s="1" t="s">
        <v>29</v>
      </c>
      <c r="F445" s="2">
        <v>45110</v>
      </c>
      <c r="G445" s="1" t="s">
        <v>22</v>
      </c>
      <c r="H445" s="1" t="s">
        <v>14</v>
      </c>
      <c r="I445">
        <v>2</v>
      </c>
      <c r="J445">
        <v>4566.13</v>
      </c>
      <c r="K445" s="1" t="s">
        <v>15</v>
      </c>
      <c r="L445" s="1">
        <f>customer_project_data_500_rows[[#This Row],[Quantity]]*customer_project_data_500_rows[[#This Row],[Price]]</f>
        <v>9132.26</v>
      </c>
    </row>
    <row r="446" spans="1:12" x14ac:dyDescent="0.3">
      <c r="A446">
        <v>1445</v>
      </c>
      <c r="B446" s="1" t="s">
        <v>475</v>
      </c>
      <c r="C446" s="1" t="s">
        <v>42</v>
      </c>
      <c r="D446">
        <v>31</v>
      </c>
      <c r="E446" s="1" t="s">
        <v>32</v>
      </c>
      <c r="F446" s="2">
        <v>45493</v>
      </c>
      <c r="G446" s="1" t="s">
        <v>22</v>
      </c>
      <c r="H446" s="1" t="s">
        <v>23</v>
      </c>
      <c r="I446">
        <v>3</v>
      </c>
      <c r="J446">
        <v>45363.59</v>
      </c>
      <c r="K446" s="1" t="s">
        <v>20</v>
      </c>
      <c r="L446" s="1">
        <f>customer_project_data_500_rows[[#This Row],[Quantity]]*customer_project_data_500_rows[[#This Row],[Price]]</f>
        <v>136090.76999999999</v>
      </c>
    </row>
    <row r="447" spans="1:12" x14ac:dyDescent="0.3">
      <c r="A447">
        <v>1446</v>
      </c>
      <c r="B447" s="1" t="s">
        <v>476</v>
      </c>
      <c r="C447" s="1" t="s">
        <v>531</v>
      </c>
      <c r="D447">
        <v>18</v>
      </c>
      <c r="E447" s="1" t="s">
        <v>17</v>
      </c>
      <c r="F447" s="2">
        <v>45032</v>
      </c>
      <c r="G447" s="1" t="s">
        <v>13</v>
      </c>
      <c r="H447" s="1" t="s">
        <v>23</v>
      </c>
      <c r="I447">
        <v>1</v>
      </c>
      <c r="J447">
        <v>19767.32</v>
      </c>
      <c r="K447" s="1" t="s">
        <v>39</v>
      </c>
      <c r="L447" s="1">
        <f>customer_project_data_500_rows[[#This Row],[Quantity]]*customer_project_data_500_rows[[#This Row],[Price]]</f>
        <v>19767.32</v>
      </c>
    </row>
    <row r="448" spans="1:12" x14ac:dyDescent="0.3">
      <c r="A448">
        <v>1447</v>
      </c>
      <c r="B448" s="1" t="s">
        <v>477</v>
      </c>
      <c r="C448" s="1" t="s">
        <v>42</v>
      </c>
      <c r="D448">
        <v>60</v>
      </c>
      <c r="E448" s="1" t="s">
        <v>32</v>
      </c>
      <c r="F448" s="2">
        <v>45268</v>
      </c>
      <c r="G448" s="1" t="s">
        <v>25</v>
      </c>
      <c r="H448" s="1" t="s">
        <v>23</v>
      </c>
      <c r="I448">
        <v>2</v>
      </c>
      <c r="J448">
        <v>26903.47</v>
      </c>
      <c r="K448" s="1" t="s">
        <v>26</v>
      </c>
      <c r="L448" s="1">
        <f>customer_project_data_500_rows[[#This Row],[Quantity]]*customer_project_data_500_rows[[#This Row],[Price]]</f>
        <v>53806.94</v>
      </c>
    </row>
    <row r="449" spans="1:12" x14ac:dyDescent="0.3">
      <c r="A449">
        <v>1448</v>
      </c>
      <c r="B449" s="1" t="s">
        <v>478</v>
      </c>
      <c r="C449" s="1" t="s">
        <v>42</v>
      </c>
      <c r="D449">
        <v>57</v>
      </c>
      <c r="E449" s="1" t="s">
        <v>12</v>
      </c>
      <c r="F449" s="2">
        <v>45520</v>
      </c>
      <c r="G449" s="1" t="s">
        <v>34</v>
      </c>
      <c r="H449" s="1" t="s">
        <v>14</v>
      </c>
      <c r="I449">
        <v>3</v>
      </c>
      <c r="J449">
        <v>48180.46</v>
      </c>
      <c r="K449" s="1" t="s">
        <v>26</v>
      </c>
      <c r="L449" s="1">
        <f>customer_project_data_500_rows[[#This Row],[Quantity]]*customer_project_data_500_rows[[#This Row],[Price]]</f>
        <v>144541.38</v>
      </c>
    </row>
    <row r="450" spans="1:12" x14ac:dyDescent="0.3">
      <c r="A450">
        <v>1449</v>
      </c>
      <c r="B450" s="1" t="s">
        <v>479</v>
      </c>
      <c r="C450" s="1" t="s">
        <v>531</v>
      </c>
      <c r="D450">
        <v>21</v>
      </c>
      <c r="E450" s="1" t="s">
        <v>32</v>
      </c>
      <c r="F450" s="2">
        <v>45434</v>
      </c>
      <c r="G450" s="1" t="s">
        <v>34</v>
      </c>
      <c r="H450" s="1" t="s">
        <v>14</v>
      </c>
      <c r="I450">
        <v>3</v>
      </c>
      <c r="J450">
        <v>38073.17</v>
      </c>
      <c r="K450" s="1" t="s">
        <v>20</v>
      </c>
      <c r="L450" s="1">
        <f>customer_project_data_500_rows[[#This Row],[Quantity]]*customer_project_data_500_rows[[#This Row],[Price]]</f>
        <v>114219.51</v>
      </c>
    </row>
    <row r="451" spans="1:12" x14ac:dyDescent="0.3">
      <c r="A451">
        <v>1450</v>
      </c>
      <c r="B451" s="1" t="s">
        <v>480</v>
      </c>
      <c r="C451" s="1" t="s">
        <v>532</v>
      </c>
      <c r="D451">
        <v>61</v>
      </c>
      <c r="E451" s="1" t="s">
        <v>32</v>
      </c>
      <c r="F451" s="2">
        <v>45005</v>
      </c>
      <c r="G451" s="1" t="s">
        <v>22</v>
      </c>
      <c r="H451" s="1" t="s">
        <v>14</v>
      </c>
      <c r="I451">
        <v>1</v>
      </c>
      <c r="J451">
        <v>16614.240000000002</v>
      </c>
      <c r="K451" s="1" t="s">
        <v>39</v>
      </c>
      <c r="L451" s="1">
        <f>customer_project_data_500_rows[[#This Row],[Quantity]]*customer_project_data_500_rows[[#This Row],[Price]]</f>
        <v>16614.240000000002</v>
      </c>
    </row>
    <row r="452" spans="1:12" x14ac:dyDescent="0.3">
      <c r="A452">
        <v>1451</v>
      </c>
      <c r="B452" s="1" t="s">
        <v>481</v>
      </c>
      <c r="C452" s="1" t="s">
        <v>531</v>
      </c>
      <c r="D452">
        <v>61</v>
      </c>
      <c r="E452" s="1" t="s">
        <v>29</v>
      </c>
      <c r="F452" s="2">
        <v>45468</v>
      </c>
      <c r="G452" s="1" t="s">
        <v>25</v>
      </c>
      <c r="H452" s="1" t="s">
        <v>14</v>
      </c>
      <c r="I452">
        <v>1</v>
      </c>
      <c r="J452">
        <v>4749.54</v>
      </c>
      <c r="K452" s="1" t="s">
        <v>15</v>
      </c>
      <c r="L452" s="1">
        <f>customer_project_data_500_rows[[#This Row],[Quantity]]*customer_project_data_500_rows[[#This Row],[Price]]</f>
        <v>4749.54</v>
      </c>
    </row>
    <row r="453" spans="1:12" x14ac:dyDescent="0.3">
      <c r="A453">
        <v>1452</v>
      </c>
      <c r="B453" s="1" t="s">
        <v>482</v>
      </c>
      <c r="C453" s="1" t="s">
        <v>531</v>
      </c>
      <c r="D453">
        <v>28</v>
      </c>
      <c r="E453" s="1" t="s">
        <v>32</v>
      </c>
      <c r="F453" s="2">
        <v>45195</v>
      </c>
      <c r="G453" s="1" t="s">
        <v>25</v>
      </c>
      <c r="H453" s="1" t="s">
        <v>19</v>
      </c>
      <c r="I453">
        <v>1</v>
      </c>
      <c r="J453">
        <v>27033.19</v>
      </c>
      <c r="K453" s="1" t="s">
        <v>26</v>
      </c>
      <c r="L453" s="1">
        <f>customer_project_data_500_rows[[#This Row],[Quantity]]*customer_project_data_500_rows[[#This Row],[Price]]</f>
        <v>27033.19</v>
      </c>
    </row>
    <row r="454" spans="1:12" x14ac:dyDescent="0.3">
      <c r="A454">
        <v>1453</v>
      </c>
      <c r="B454" s="1" t="s">
        <v>483</v>
      </c>
      <c r="C454" s="1" t="s">
        <v>42</v>
      </c>
      <c r="D454">
        <v>52</v>
      </c>
      <c r="E454" s="1" t="s">
        <v>36</v>
      </c>
      <c r="F454" s="2">
        <v>45502</v>
      </c>
      <c r="G454" s="1" t="s">
        <v>22</v>
      </c>
      <c r="H454" s="1" t="s">
        <v>23</v>
      </c>
      <c r="I454">
        <v>3</v>
      </c>
      <c r="J454">
        <v>17138.21</v>
      </c>
      <c r="K454" s="1" t="s">
        <v>15</v>
      </c>
      <c r="L454" s="1">
        <f>customer_project_data_500_rows[[#This Row],[Quantity]]*customer_project_data_500_rows[[#This Row],[Price]]</f>
        <v>51414.63</v>
      </c>
    </row>
    <row r="455" spans="1:12" x14ac:dyDescent="0.3">
      <c r="A455">
        <v>1454</v>
      </c>
      <c r="B455" s="1" t="s">
        <v>484</v>
      </c>
      <c r="C455" s="1" t="s">
        <v>42</v>
      </c>
      <c r="D455">
        <v>51</v>
      </c>
      <c r="E455" s="1" t="s">
        <v>29</v>
      </c>
      <c r="F455" s="2">
        <v>45062</v>
      </c>
      <c r="G455" s="1" t="s">
        <v>18</v>
      </c>
      <c r="H455" s="1" t="s">
        <v>23</v>
      </c>
      <c r="I455">
        <v>4</v>
      </c>
      <c r="J455">
        <v>1573.43</v>
      </c>
      <c r="K455" s="1" t="s">
        <v>39</v>
      </c>
      <c r="L455" s="1">
        <f>customer_project_data_500_rows[[#This Row],[Quantity]]*customer_project_data_500_rows[[#This Row],[Price]]</f>
        <v>6293.72</v>
      </c>
    </row>
    <row r="456" spans="1:12" x14ac:dyDescent="0.3">
      <c r="A456">
        <v>1455</v>
      </c>
      <c r="B456" s="1" t="s">
        <v>485</v>
      </c>
      <c r="C456" s="1" t="s">
        <v>532</v>
      </c>
      <c r="D456">
        <v>29</v>
      </c>
      <c r="E456" s="1" t="s">
        <v>29</v>
      </c>
      <c r="F456" s="2">
        <v>44997</v>
      </c>
      <c r="G456" s="1" t="s">
        <v>22</v>
      </c>
      <c r="H456" s="1" t="s">
        <v>14</v>
      </c>
      <c r="I456">
        <v>4</v>
      </c>
      <c r="J456">
        <v>38672.04</v>
      </c>
      <c r="K456" s="1" t="s">
        <v>37</v>
      </c>
      <c r="L456" s="1">
        <f>customer_project_data_500_rows[[#This Row],[Quantity]]*customer_project_data_500_rows[[#This Row],[Price]]</f>
        <v>154688.16</v>
      </c>
    </row>
    <row r="457" spans="1:12" x14ac:dyDescent="0.3">
      <c r="A457">
        <v>1456</v>
      </c>
      <c r="B457" s="1" t="s">
        <v>486</v>
      </c>
      <c r="C457" s="1" t="s">
        <v>42</v>
      </c>
      <c r="D457">
        <v>20</v>
      </c>
      <c r="E457" s="1" t="s">
        <v>29</v>
      </c>
      <c r="F457" s="2">
        <v>45246</v>
      </c>
      <c r="G457" s="1" t="s">
        <v>13</v>
      </c>
      <c r="H457" s="1" t="s">
        <v>23</v>
      </c>
      <c r="I457">
        <v>5</v>
      </c>
      <c r="J457">
        <v>19553</v>
      </c>
      <c r="K457" s="1" t="s">
        <v>20</v>
      </c>
      <c r="L457" s="1">
        <f>customer_project_data_500_rows[[#This Row],[Quantity]]*customer_project_data_500_rows[[#This Row],[Price]]</f>
        <v>97765</v>
      </c>
    </row>
    <row r="458" spans="1:12" x14ac:dyDescent="0.3">
      <c r="A458">
        <v>1457</v>
      </c>
      <c r="B458" s="1" t="s">
        <v>487</v>
      </c>
      <c r="C458" s="1" t="s">
        <v>532</v>
      </c>
      <c r="D458">
        <v>28</v>
      </c>
      <c r="E458" s="1" t="s">
        <v>29</v>
      </c>
      <c r="F458" s="2">
        <v>45503</v>
      </c>
      <c r="G458" s="1" t="s">
        <v>34</v>
      </c>
      <c r="H458" s="1" t="s">
        <v>14</v>
      </c>
      <c r="I458">
        <v>3</v>
      </c>
      <c r="J458">
        <v>28780.400000000001</v>
      </c>
      <c r="K458" s="1" t="s">
        <v>37</v>
      </c>
      <c r="L458" s="1">
        <f>customer_project_data_500_rows[[#This Row],[Quantity]]*customer_project_data_500_rows[[#This Row],[Price]]</f>
        <v>86341.200000000012</v>
      </c>
    </row>
    <row r="459" spans="1:12" x14ac:dyDescent="0.3">
      <c r="A459">
        <v>1458</v>
      </c>
      <c r="B459" s="1" t="s">
        <v>488</v>
      </c>
      <c r="C459" s="1" t="s">
        <v>532</v>
      </c>
      <c r="D459">
        <v>45</v>
      </c>
      <c r="E459" s="1" t="s">
        <v>17</v>
      </c>
      <c r="F459" s="2">
        <v>45252</v>
      </c>
      <c r="G459" s="1" t="s">
        <v>18</v>
      </c>
      <c r="H459" s="1" t="s">
        <v>19</v>
      </c>
      <c r="I459">
        <v>1</v>
      </c>
      <c r="J459">
        <v>37909.269999999997</v>
      </c>
      <c r="K459" s="1" t="s">
        <v>37</v>
      </c>
      <c r="L459" s="1">
        <f>customer_project_data_500_rows[[#This Row],[Quantity]]*customer_project_data_500_rows[[#This Row],[Price]]</f>
        <v>37909.269999999997</v>
      </c>
    </row>
    <row r="460" spans="1:12" x14ac:dyDescent="0.3">
      <c r="A460">
        <v>1459</v>
      </c>
      <c r="B460" s="1" t="s">
        <v>489</v>
      </c>
      <c r="C460" s="1" t="s">
        <v>532</v>
      </c>
      <c r="D460">
        <v>23</v>
      </c>
      <c r="E460" s="1" t="s">
        <v>36</v>
      </c>
      <c r="F460" s="2">
        <v>45555</v>
      </c>
      <c r="G460" s="1" t="s">
        <v>25</v>
      </c>
      <c r="H460" s="1" t="s">
        <v>14</v>
      </c>
      <c r="I460">
        <v>3</v>
      </c>
      <c r="J460">
        <v>47071.95</v>
      </c>
      <c r="K460" s="1" t="s">
        <v>26</v>
      </c>
      <c r="L460" s="1">
        <f>customer_project_data_500_rows[[#This Row],[Quantity]]*customer_project_data_500_rows[[#This Row],[Price]]</f>
        <v>141215.84999999998</v>
      </c>
    </row>
    <row r="461" spans="1:12" x14ac:dyDescent="0.3">
      <c r="A461">
        <v>1460</v>
      </c>
      <c r="B461" s="1" t="s">
        <v>490</v>
      </c>
      <c r="C461" s="1" t="s">
        <v>42</v>
      </c>
      <c r="D461">
        <v>44</v>
      </c>
      <c r="E461" s="1" t="s">
        <v>17</v>
      </c>
      <c r="F461" s="2">
        <v>45386</v>
      </c>
      <c r="G461" s="1" t="s">
        <v>13</v>
      </c>
      <c r="H461" s="1" t="s">
        <v>14</v>
      </c>
      <c r="I461">
        <v>4</v>
      </c>
      <c r="J461">
        <v>30809.96</v>
      </c>
      <c r="K461" s="1" t="s">
        <v>20</v>
      </c>
      <c r="L461" s="1">
        <f>customer_project_data_500_rows[[#This Row],[Quantity]]*customer_project_data_500_rows[[#This Row],[Price]]</f>
        <v>123239.84</v>
      </c>
    </row>
    <row r="462" spans="1:12" x14ac:dyDescent="0.3">
      <c r="A462">
        <v>1461</v>
      </c>
      <c r="B462" s="1" t="s">
        <v>491</v>
      </c>
      <c r="C462" s="1" t="s">
        <v>42</v>
      </c>
      <c r="D462">
        <v>21</v>
      </c>
      <c r="E462" s="1" t="s">
        <v>12</v>
      </c>
      <c r="F462" s="2">
        <v>45271</v>
      </c>
      <c r="G462" s="1" t="s">
        <v>34</v>
      </c>
      <c r="H462" s="1" t="s">
        <v>14</v>
      </c>
      <c r="I462">
        <v>4</v>
      </c>
      <c r="J462">
        <v>16112.11</v>
      </c>
      <c r="K462" s="1" t="s">
        <v>20</v>
      </c>
      <c r="L462" s="1">
        <f>customer_project_data_500_rows[[#This Row],[Quantity]]*customer_project_data_500_rows[[#This Row],[Price]]</f>
        <v>64448.44</v>
      </c>
    </row>
    <row r="463" spans="1:12" x14ac:dyDescent="0.3">
      <c r="A463">
        <v>1462</v>
      </c>
      <c r="B463" s="1" t="s">
        <v>492</v>
      </c>
      <c r="C463" s="1" t="s">
        <v>532</v>
      </c>
      <c r="D463">
        <v>49</v>
      </c>
      <c r="E463" s="1" t="s">
        <v>17</v>
      </c>
      <c r="F463" s="2">
        <v>45345</v>
      </c>
      <c r="G463" s="1" t="s">
        <v>30</v>
      </c>
      <c r="H463" s="1" t="s">
        <v>19</v>
      </c>
      <c r="I463">
        <v>2</v>
      </c>
      <c r="J463">
        <v>5948.79</v>
      </c>
      <c r="K463" s="1" t="s">
        <v>26</v>
      </c>
      <c r="L463" s="1">
        <f>customer_project_data_500_rows[[#This Row],[Quantity]]*customer_project_data_500_rows[[#This Row],[Price]]</f>
        <v>11897.58</v>
      </c>
    </row>
    <row r="464" spans="1:12" x14ac:dyDescent="0.3">
      <c r="A464">
        <v>1463</v>
      </c>
      <c r="B464" s="1" t="s">
        <v>493</v>
      </c>
      <c r="C464" s="1" t="s">
        <v>532</v>
      </c>
      <c r="D464">
        <v>29</v>
      </c>
      <c r="E464" s="1" t="s">
        <v>29</v>
      </c>
      <c r="F464" s="2">
        <v>45626</v>
      </c>
      <c r="G464" s="1" t="s">
        <v>25</v>
      </c>
      <c r="H464" s="1" t="s">
        <v>19</v>
      </c>
      <c r="I464">
        <v>4</v>
      </c>
      <c r="J464">
        <v>4158.9799999999996</v>
      </c>
      <c r="K464" s="1" t="s">
        <v>26</v>
      </c>
      <c r="L464" s="1">
        <f>customer_project_data_500_rows[[#This Row],[Quantity]]*customer_project_data_500_rows[[#This Row],[Price]]</f>
        <v>16635.919999999998</v>
      </c>
    </row>
    <row r="465" spans="1:12" x14ac:dyDescent="0.3">
      <c r="A465">
        <v>1464</v>
      </c>
      <c r="B465" s="1" t="s">
        <v>494</v>
      </c>
      <c r="C465" s="1" t="s">
        <v>532</v>
      </c>
      <c r="D465">
        <v>21</v>
      </c>
      <c r="E465" s="1" t="s">
        <v>36</v>
      </c>
      <c r="F465" s="2">
        <v>45285</v>
      </c>
      <c r="G465" s="1" t="s">
        <v>18</v>
      </c>
      <c r="H465" s="1" t="s">
        <v>14</v>
      </c>
      <c r="I465">
        <v>5</v>
      </c>
      <c r="J465">
        <v>16324.69</v>
      </c>
      <c r="K465" s="1" t="s">
        <v>37</v>
      </c>
      <c r="L465" s="1">
        <f>customer_project_data_500_rows[[#This Row],[Quantity]]*customer_project_data_500_rows[[#This Row],[Price]]</f>
        <v>81623.45</v>
      </c>
    </row>
    <row r="466" spans="1:12" x14ac:dyDescent="0.3">
      <c r="A466">
        <v>1465</v>
      </c>
      <c r="B466" s="1" t="s">
        <v>495</v>
      </c>
      <c r="C466" s="1" t="s">
        <v>531</v>
      </c>
      <c r="D466">
        <v>19</v>
      </c>
      <c r="E466" s="1" t="s">
        <v>17</v>
      </c>
      <c r="F466" s="2">
        <v>45399</v>
      </c>
      <c r="G466" s="1" t="s">
        <v>25</v>
      </c>
      <c r="H466" s="1" t="s">
        <v>19</v>
      </c>
      <c r="I466">
        <v>2</v>
      </c>
      <c r="J466">
        <v>33211.54</v>
      </c>
      <c r="K466" s="1" t="s">
        <v>26</v>
      </c>
      <c r="L466" s="1">
        <f>customer_project_data_500_rows[[#This Row],[Quantity]]*customer_project_data_500_rows[[#This Row],[Price]]</f>
        <v>66423.08</v>
      </c>
    </row>
    <row r="467" spans="1:12" x14ac:dyDescent="0.3">
      <c r="A467">
        <v>1466</v>
      </c>
      <c r="B467" s="1" t="s">
        <v>496</v>
      </c>
      <c r="C467" s="1" t="s">
        <v>42</v>
      </c>
      <c r="D467">
        <v>31</v>
      </c>
      <c r="E467" s="1" t="s">
        <v>17</v>
      </c>
      <c r="F467" s="2">
        <v>44960</v>
      </c>
      <c r="G467" s="1" t="s">
        <v>34</v>
      </c>
      <c r="H467" s="1" t="s">
        <v>23</v>
      </c>
      <c r="I467">
        <v>1</v>
      </c>
      <c r="J467">
        <v>34910.03</v>
      </c>
      <c r="K467" s="1" t="s">
        <v>15</v>
      </c>
      <c r="L467" s="1">
        <f>customer_project_data_500_rows[[#This Row],[Quantity]]*customer_project_data_500_rows[[#This Row],[Price]]</f>
        <v>34910.03</v>
      </c>
    </row>
    <row r="468" spans="1:12" x14ac:dyDescent="0.3">
      <c r="A468">
        <v>1467</v>
      </c>
      <c r="B468" s="1" t="s">
        <v>497</v>
      </c>
      <c r="C468" s="1" t="s">
        <v>531</v>
      </c>
      <c r="D468">
        <v>35</v>
      </c>
      <c r="E468" s="1" t="s">
        <v>36</v>
      </c>
      <c r="F468" s="2">
        <v>44930</v>
      </c>
      <c r="G468" s="1" t="s">
        <v>30</v>
      </c>
      <c r="H468" s="1" t="s">
        <v>23</v>
      </c>
      <c r="I468">
        <v>5</v>
      </c>
      <c r="J468">
        <v>10782.04</v>
      </c>
      <c r="K468" s="1" t="s">
        <v>20</v>
      </c>
      <c r="L468" s="1">
        <f>customer_project_data_500_rows[[#This Row],[Quantity]]*customer_project_data_500_rows[[#This Row],[Price]]</f>
        <v>53910.200000000004</v>
      </c>
    </row>
    <row r="469" spans="1:12" x14ac:dyDescent="0.3">
      <c r="A469">
        <v>1468</v>
      </c>
      <c r="B469" s="1" t="s">
        <v>498</v>
      </c>
      <c r="C469" s="1" t="s">
        <v>42</v>
      </c>
      <c r="D469">
        <v>26</v>
      </c>
      <c r="E469" s="1" t="s">
        <v>17</v>
      </c>
      <c r="F469" s="2">
        <v>45341</v>
      </c>
      <c r="G469" s="1" t="s">
        <v>30</v>
      </c>
      <c r="H469" s="1" t="s">
        <v>19</v>
      </c>
      <c r="I469">
        <v>5</v>
      </c>
      <c r="J469">
        <v>4598.3999999999996</v>
      </c>
      <c r="K469" s="1" t="s">
        <v>20</v>
      </c>
      <c r="L469" s="1">
        <f>customer_project_data_500_rows[[#This Row],[Quantity]]*customer_project_data_500_rows[[#This Row],[Price]]</f>
        <v>22992</v>
      </c>
    </row>
    <row r="470" spans="1:12" x14ac:dyDescent="0.3">
      <c r="A470">
        <v>1469</v>
      </c>
      <c r="B470" s="1" t="s">
        <v>499</v>
      </c>
      <c r="C470" s="1" t="s">
        <v>532</v>
      </c>
      <c r="D470">
        <v>56</v>
      </c>
      <c r="E470" s="1" t="s">
        <v>36</v>
      </c>
      <c r="F470" s="2">
        <v>45333</v>
      </c>
      <c r="G470" s="1" t="s">
        <v>30</v>
      </c>
      <c r="H470" s="1" t="s">
        <v>19</v>
      </c>
      <c r="I470">
        <v>3</v>
      </c>
      <c r="J470">
        <v>15622.78</v>
      </c>
      <c r="K470" s="1" t="s">
        <v>20</v>
      </c>
      <c r="L470" s="1">
        <f>customer_project_data_500_rows[[#This Row],[Quantity]]*customer_project_data_500_rows[[#This Row],[Price]]</f>
        <v>46868.340000000004</v>
      </c>
    </row>
    <row r="471" spans="1:12" x14ac:dyDescent="0.3">
      <c r="A471">
        <v>1470</v>
      </c>
      <c r="B471" s="1" t="s">
        <v>500</v>
      </c>
      <c r="C471" s="1" t="s">
        <v>531</v>
      </c>
      <c r="D471">
        <v>22</v>
      </c>
      <c r="E471" s="1" t="s">
        <v>12</v>
      </c>
      <c r="F471" s="2">
        <v>45108</v>
      </c>
      <c r="G471" s="1" t="s">
        <v>22</v>
      </c>
      <c r="H471" s="1" t="s">
        <v>19</v>
      </c>
      <c r="I471">
        <v>4</v>
      </c>
      <c r="J471">
        <v>27604.94</v>
      </c>
      <c r="K471" s="1" t="s">
        <v>15</v>
      </c>
      <c r="L471" s="1">
        <f>customer_project_data_500_rows[[#This Row],[Quantity]]*customer_project_data_500_rows[[#This Row],[Price]]</f>
        <v>110419.76</v>
      </c>
    </row>
    <row r="472" spans="1:12" x14ac:dyDescent="0.3">
      <c r="A472">
        <v>1471</v>
      </c>
      <c r="B472" s="1" t="s">
        <v>501</v>
      </c>
      <c r="C472" s="1" t="s">
        <v>531</v>
      </c>
      <c r="D472">
        <v>24</v>
      </c>
      <c r="E472" s="1" t="s">
        <v>17</v>
      </c>
      <c r="F472" s="2">
        <v>45285</v>
      </c>
      <c r="G472" s="1" t="s">
        <v>30</v>
      </c>
      <c r="H472" s="1" t="s">
        <v>14</v>
      </c>
      <c r="I472">
        <v>2</v>
      </c>
      <c r="J472">
        <v>37856.15</v>
      </c>
      <c r="K472" s="1" t="s">
        <v>26</v>
      </c>
      <c r="L472" s="1">
        <f>customer_project_data_500_rows[[#This Row],[Quantity]]*customer_project_data_500_rows[[#This Row],[Price]]</f>
        <v>75712.3</v>
      </c>
    </row>
    <row r="473" spans="1:12" x14ac:dyDescent="0.3">
      <c r="A473">
        <v>1472</v>
      </c>
      <c r="B473" s="1" t="s">
        <v>502</v>
      </c>
      <c r="C473" s="1" t="s">
        <v>531</v>
      </c>
      <c r="D473">
        <v>30</v>
      </c>
      <c r="E473" s="1" t="s">
        <v>36</v>
      </c>
      <c r="F473" s="2">
        <v>45535</v>
      </c>
      <c r="G473" s="1" t="s">
        <v>18</v>
      </c>
      <c r="H473" s="1" t="s">
        <v>14</v>
      </c>
      <c r="I473">
        <v>4</v>
      </c>
      <c r="J473">
        <v>26718.04</v>
      </c>
      <c r="K473" s="1" t="s">
        <v>26</v>
      </c>
      <c r="L473" s="1">
        <f>customer_project_data_500_rows[[#This Row],[Quantity]]*customer_project_data_500_rows[[#This Row],[Price]]</f>
        <v>106872.16</v>
      </c>
    </row>
    <row r="474" spans="1:12" x14ac:dyDescent="0.3">
      <c r="A474">
        <v>1473</v>
      </c>
      <c r="B474" s="1" t="s">
        <v>503</v>
      </c>
      <c r="C474" s="1" t="s">
        <v>531</v>
      </c>
      <c r="D474">
        <v>27</v>
      </c>
      <c r="E474" s="1" t="s">
        <v>29</v>
      </c>
      <c r="F474" s="2">
        <v>45521</v>
      </c>
      <c r="G474" s="1" t="s">
        <v>25</v>
      </c>
      <c r="H474" s="1" t="s">
        <v>19</v>
      </c>
      <c r="I474">
        <v>2</v>
      </c>
      <c r="J474">
        <v>14705.7</v>
      </c>
      <c r="K474" s="1" t="s">
        <v>39</v>
      </c>
      <c r="L474" s="1">
        <f>customer_project_data_500_rows[[#This Row],[Quantity]]*customer_project_data_500_rows[[#This Row],[Price]]</f>
        <v>29411.4</v>
      </c>
    </row>
    <row r="475" spans="1:12" x14ac:dyDescent="0.3">
      <c r="A475">
        <v>1474</v>
      </c>
      <c r="B475" s="1" t="s">
        <v>504</v>
      </c>
      <c r="C475" s="1" t="s">
        <v>531</v>
      </c>
      <c r="D475">
        <v>23</v>
      </c>
      <c r="E475" s="1" t="s">
        <v>36</v>
      </c>
      <c r="F475" s="2">
        <v>45557</v>
      </c>
      <c r="G475" s="1" t="s">
        <v>25</v>
      </c>
      <c r="H475" s="1" t="s">
        <v>14</v>
      </c>
      <c r="I475">
        <v>1</v>
      </c>
      <c r="J475">
        <v>31396.9</v>
      </c>
      <c r="K475" s="1" t="s">
        <v>15</v>
      </c>
      <c r="L475" s="1">
        <f>customer_project_data_500_rows[[#This Row],[Quantity]]*customer_project_data_500_rows[[#This Row],[Price]]</f>
        <v>31396.9</v>
      </c>
    </row>
    <row r="476" spans="1:12" x14ac:dyDescent="0.3">
      <c r="A476">
        <v>1475</v>
      </c>
      <c r="B476" s="1" t="s">
        <v>505</v>
      </c>
      <c r="C476" s="1" t="s">
        <v>42</v>
      </c>
      <c r="D476">
        <v>33</v>
      </c>
      <c r="E476" s="1" t="s">
        <v>36</v>
      </c>
      <c r="F476" s="2">
        <v>45603</v>
      </c>
      <c r="G476" s="1" t="s">
        <v>34</v>
      </c>
      <c r="H476" s="1" t="s">
        <v>23</v>
      </c>
      <c r="I476">
        <v>1</v>
      </c>
      <c r="J476">
        <v>13609.41</v>
      </c>
      <c r="K476" s="1" t="s">
        <v>20</v>
      </c>
      <c r="L476" s="1">
        <f>customer_project_data_500_rows[[#This Row],[Quantity]]*customer_project_data_500_rows[[#This Row],[Price]]</f>
        <v>13609.41</v>
      </c>
    </row>
    <row r="477" spans="1:12" x14ac:dyDescent="0.3">
      <c r="A477">
        <v>1476</v>
      </c>
      <c r="B477" s="1" t="s">
        <v>506</v>
      </c>
      <c r="C477" s="1" t="s">
        <v>42</v>
      </c>
      <c r="D477">
        <v>38</v>
      </c>
      <c r="E477" s="1" t="s">
        <v>29</v>
      </c>
      <c r="F477" s="2">
        <v>45291</v>
      </c>
      <c r="G477" s="1" t="s">
        <v>13</v>
      </c>
      <c r="H477" s="1" t="s">
        <v>19</v>
      </c>
      <c r="I477">
        <v>3</v>
      </c>
      <c r="J477">
        <v>32808.300000000003</v>
      </c>
      <c r="K477" s="1" t="s">
        <v>39</v>
      </c>
      <c r="L477" s="1">
        <f>customer_project_data_500_rows[[#This Row],[Quantity]]*customer_project_data_500_rows[[#This Row],[Price]]</f>
        <v>98424.900000000009</v>
      </c>
    </row>
    <row r="478" spans="1:12" x14ac:dyDescent="0.3">
      <c r="A478">
        <v>1477</v>
      </c>
      <c r="B478" s="1" t="s">
        <v>507</v>
      </c>
      <c r="C478" s="1" t="s">
        <v>532</v>
      </c>
      <c r="D478">
        <v>49</v>
      </c>
      <c r="E478" s="1" t="s">
        <v>17</v>
      </c>
      <c r="F478" s="2">
        <v>45189</v>
      </c>
      <c r="G478" s="1" t="s">
        <v>22</v>
      </c>
      <c r="H478" s="1" t="s">
        <v>23</v>
      </c>
      <c r="I478">
        <v>5</v>
      </c>
      <c r="J478">
        <v>42173.95</v>
      </c>
      <c r="K478" s="1" t="s">
        <v>39</v>
      </c>
      <c r="L478" s="1">
        <f>customer_project_data_500_rows[[#This Row],[Quantity]]*customer_project_data_500_rows[[#This Row],[Price]]</f>
        <v>210869.75</v>
      </c>
    </row>
    <row r="479" spans="1:12" x14ac:dyDescent="0.3">
      <c r="A479">
        <v>1478</v>
      </c>
      <c r="B479" s="1" t="s">
        <v>508</v>
      </c>
      <c r="C479" s="1" t="s">
        <v>531</v>
      </c>
      <c r="D479">
        <v>44</v>
      </c>
      <c r="E479" s="1" t="s">
        <v>29</v>
      </c>
      <c r="F479" s="2">
        <v>45042</v>
      </c>
      <c r="G479" s="1" t="s">
        <v>30</v>
      </c>
      <c r="H479" s="1" t="s">
        <v>23</v>
      </c>
      <c r="I479">
        <v>3</v>
      </c>
      <c r="J479">
        <v>32127.919999999998</v>
      </c>
      <c r="K479" s="1" t="s">
        <v>15</v>
      </c>
      <c r="L479" s="1">
        <f>customer_project_data_500_rows[[#This Row],[Quantity]]*customer_project_data_500_rows[[#This Row],[Price]]</f>
        <v>96383.76</v>
      </c>
    </row>
    <row r="480" spans="1:12" x14ac:dyDescent="0.3">
      <c r="A480">
        <v>1479</v>
      </c>
      <c r="B480" s="1" t="s">
        <v>509</v>
      </c>
      <c r="C480" s="1" t="s">
        <v>532</v>
      </c>
      <c r="D480">
        <v>25</v>
      </c>
      <c r="E480" s="1" t="s">
        <v>17</v>
      </c>
      <c r="F480" s="2">
        <v>45605</v>
      </c>
      <c r="G480" s="1" t="s">
        <v>25</v>
      </c>
      <c r="H480" s="1" t="s">
        <v>14</v>
      </c>
      <c r="I480">
        <v>3</v>
      </c>
      <c r="J480">
        <v>28498.76</v>
      </c>
      <c r="K480" s="1" t="s">
        <v>15</v>
      </c>
      <c r="L480" s="1">
        <f>customer_project_data_500_rows[[#This Row],[Quantity]]*customer_project_data_500_rows[[#This Row],[Price]]</f>
        <v>85496.28</v>
      </c>
    </row>
    <row r="481" spans="1:12" x14ac:dyDescent="0.3">
      <c r="A481">
        <v>1480</v>
      </c>
      <c r="B481" s="1" t="s">
        <v>510</v>
      </c>
      <c r="C481" s="1" t="s">
        <v>42</v>
      </c>
      <c r="D481">
        <v>61</v>
      </c>
      <c r="E481" s="1" t="s">
        <v>32</v>
      </c>
      <c r="F481" s="2">
        <v>45420</v>
      </c>
      <c r="G481" s="1" t="s">
        <v>30</v>
      </c>
      <c r="H481" s="1" t="s">
        <v>14</v>
      </c>
      <c r="I481">
        <v>4</v>
      </c>
      <c r="J481">
        <v>15703.53</v>
      </c>
      <c r="K481" s="1" t="s">
        <v>26</v>
      </c>
      <c r="L481" s="1">
        <f>customer_project_data_500_rows[[#This Row],[Quantity]]*customer_project_data_500_rows[[#This Row],[Price]]</f>
        <v>62814.12</v>
      </c>
    </row>
    <row r="482" spans="1:12" x14ac:dyDescent="0.3">
      <c r="A482">
        <v>1481</v>
      </c>
      <c r="B482" s="1" t="s">
        <v>511</v>
      </c>
      <c r="C482" s="1" t="s">
        <v>42</v>
      </c>
      <c r="D482">
        <v>20</v>
      </c>
      <c r="E482" s="1" t="s">
        <v>36</v>
      </c>
      <c r="F482" s="2">
        <v>45167</v>
      </c>
      <c r="G482" s="1" t="s">
        <v>30</v>
      </c>
      <c r="H482" s="1" t="s">
        <v>23</v>
      </c>
      <c r="I482">
        <v>3</v>
      </c>
      <c r="J482">
        <v>43900.46</v>
      </c>
      <c r="K482" s="1" t="s">
        <v>39</v>
      </c>
      <c r="L482" s="1">
        <f>customer_project_data_500_rows[[#This Row],[Quantity]]*customer_project_data_500_rows[[#This Row],[Price]]</f>
        <v>131701.38</v>
      </c>
    </row>
    <row r="483" spans="1:12" x14ac:dyDescent="0.3">
      <c r="A483">
        <v>1482</v>
      </c>
      <c r="B483" s="1" t="s">
        <v>512</v>
      </c>
      <c r="C483" s="1" t="s">
        <v>531</v>
      </c>
      <c r="D483">
        <v>50</v>
      </c>
      <c r="E483" s="1" t="s">
        <v>32</v>
      </c>
      <c r="F483" s="2">
        <v>45153</v>
      </c>
      <c r="G483" s="1" t="s">
        <v>25</v>
      </c>
      <c r="H483" s="1" t="s">
        <v>14</v>
      </c>
      <c r="I483">
        <v>4</v>
      </c>
      <c r="J483">
        <v>49446.68</v>
      </c>
      <c r="K483" s="1" t="s">
        <v>20</v>
      </c>
      <c r="L483" s="1">
        <f>customer_project_data_500_rows[[#This Row],[Quantity]]*customer_project_data_500_rows[[#This Row],[Price]]</f>
        <v>197786.72</v>
      </c>
    </row>
    <row r="484" spans="1:12" x14ac:dyDescent="0.3">
      <c r="A484">
        <v>1483</v>
      </c>
      <c r="B484" s="1" t="s">
        <v>513</v>
      </c>
      <c r="C484" s="1" t="s">
        <v>531</v>
      </c>
      <c r="D484">
        <v>64</v>
      </c>
      <c r="E484" s="1" t="s">
        <v>32</v>
      </c>
      <c r="F484" s="2">
        <v>45598</v>
      </c>
      <c r="G484" s="1" t="s">
        <v>22</v>
      </c>
      <c r="H484" s="1" t="s">
        <v>19</v>
      </c>
      <c r="I484">
        <v>3</v>
      </c>
      <c r="J484">
        <v>38985.230000000003</v>
      </c>
      <c r="K484" s="1" t="s">
        <v>39</v>
      </c>
      <c r="L484" s="1">
        <f>customer_project_data_500_rows[[#This Row],[Quantity]]*customer_project_data_500_rows[[#This Row],[Price]]</f>
        <v>116955.69</v>
      </c>
    </row>
    <row r="485" spans="1:12" x14ac:dyDescent="0.3">
      <c r="A485">
        <v>1484</v>
      </c>
      <c r="B485" s="1" t="s">
        <v>514</v>
      </c>
      <c r="C485" s="1" t="s">
        <v>42</v>
      </c>
      <c r="D485">
        <v>29</v>
      </c>
      <c r="E485" s="1" t="s">
        <v>12</v>
      </c>
      <c r="F485" s="2">
        <v>44989</v>
      </c>
      <c r="G485" s="1" t="s">
        <v>25</v>
      </c>
      <c r="H485" s="1" t="s">
        <v>14</v>
      </c>
      <c r="I485">
        <v>2</v>
      </c>
      <c r="J485">
        <v>28895.37</v>
      </c>
      <c r="K485" s="1" t="s">
        <v>15</v>
      </c>
      <c r="L485" s="1">
        <f>customer_project_data_500_rows[[#This Row],[Quantity]]*customer_project_data_500_rows[[#This Row],[Price]]</f>
        <v>57790.74</v>
      </c>
    </row>
    <row r="486" spans="1:12" x14ac:dyDescent="0.3">
      <c r="A486">
        <v>1485</v>
      </c>
      <c r="B486" s="1" t="s">
        <v>515</v>
      </c>
      <c r="C486" s="1" t="s">
        <v>532</v>
      </c>
      <c r="D486">
        <v>36</v>
      </c>
      <c r="E486" s="1" t="s">
        <v>29</v>
      </c>
      <c r="F486" s="2">
        <v>45304</v>
      </c>
      <c r="G486" s="1" t="s">
        <v>34</v>
      </c>
      <c r="H486" s="1" t="s">
        <v>23</v>
      </c>
      <c r="I486">
        <v>4</v>
      </c>
      <c r="J486">
        <v>7493.33</v>
      </c>
      <c r="K486" s="1" t="s">
        <v>37</v>
      </c>
      <c r="L486" s="1">
        <f>customer_project_data_500_rows[[#This Row],[Quantity]]*customer_project_data_500_rows[[#This Row],[Price]]</f>
        <v>29973.32</v>
      </c>
    </row>
    <row r="487" spans="1:12" x14ac:dyDescent="0.3">
      <c r="A487">
        <v>1486</v>
      </c>
      <c r="B487" s="1" t="s">
        <v>516</v>
      </c>
      <c r="C487" s="1" t="s">
        <v>532</v>
      </c>
      <c r="D487">
        <v>62</v>
      </c>
      <c r="E487" s="1" t="s">
        <v>29</v>
      </c>
      <c r="F487" s="2">
        <v>45373</v>
      </c>
      <c r="G487" s="1" t="s">
        <v>30</v>
      </c>
      <c r="H487" s="1" t="s">
        <v>14</v>
      </c>
      <c r="I487">
        <v>4</v>
      </c>
      <c r="J487">
        <v>16088.99</v>
      </c>
      <c r="K487" s="1" t="s">
        <v>20</v>
      </c>
      <c r="L487" s="1">
        <f>customer_project_data_500_rows[[#This Row],[Quantity]]*customer_project_data_500_rows[[#This Row],[Price]]</f>
        <v>64355.96</v>
      </c>
    </row>
    <row r="488" spans="1:12" x14ac:dyDescent="0.3">
      <c r="A488">
        <v>1487</v>
      </c>
      <c r="B488" s="1" t="s">
        <v>517</v>
      </c>
      <c r="C488" s="1" t="s">
        <v>531</v>
      </c>
      <c r="D488">
        <v>18</v>
      </c>
      <c r="E488" s="1" t="s">
        <v>29</v>
      </c>
      <c r="F488" s="2">
        <v>44961</v>
      </c>
      <c r="G488" s="1" t="s">
        <v>13</v>
      </c>
      <c r="H488" s="1" t="s">
        <v>14</v>
      </c>
      <c r="I488">
        <v>1</v>
      </c>
      <c r="J488">
        <v>18659.54</v>
      </c>
      <c r="K488" s="1" t="s">
        <v>20</v>
      </c>
      <c r="L488" s="1">
        <f>customer_project_data_500_rows[[#This Row],[Quantity]]*customer_project_data_500_rows[[#This Row],[Price]]</f>
        <v>18659.54</v>
      </c>
    </row>
    <row r="489" spans="1:12" x14ac:dyDescent="0.3">
      <c r="A489">
        <v>1488</v>
      </c>
      <c r="B489" s="1" t="s">
        <v>518</v>
      </c>
      <c r="C489" s="1" t="s">
        <v>532</v>
      </c>
      <c r="D489">
        <v>55</v>
      </c>
      <c r="E489" s="1" t="s">
        <v>36</v>
      </c>
      <c r="F489" s="2">
        <v>44969</v>
      </c>
      <c r="G489" s="1" t="s">
        <v>34</v>
      </c>
      <c r="H489" s="1" t="s">
        <v>14</v>
      </c>
      <c r="I489">
        <v>5</v>
      </c>
      <c r="J489">
        <v>14948.81</v>
      </c>
      <c r="K489" s="1" t="s">
        <v>37</v>
      </c>
      <c r="L489" s="1">
        <f>customer_project_data_500_rows[[#This Row],[Quantity]]*customer_project_data_500_rows[[#This Row],[Price]]</f>
        <v>74744.05</v>
      </c>
    </row>
    <row r="490" spans="1:12" x14ac:dyDescent="0.3">
      <c r="A490">
        <v>1489</v>
      </c>
      <c r="B490" s="1" t="s">
        <v>519</v>
      </c>
      <c r="C490" s="1" t="s">
        <v>531</v>
      </c>
      <c r="D490">
        <v>27</v>
      </c>
      <c r="E490" s="1" t="s">
        <v>29</v>
      </c>
      <c r="F490" s="2">
        <v>45331</v>
      </c>
      <c r="G490" s="1" t="s">
        <v>34</v>
      </c>
      <c r="H490" s="1" t="s">
        <v>14</v>
      </c>
      <c r="I490">
        <v>5</v>
      </c>
      <c r="J490">
        <v>22574.66</v>
      </c>
      <c r="K490" s="1" t="s">
        <v>15</v>
      </c>
      <c r="L490" s="1">
        <f>customer_project_data_500_rows[[#This Row],[Quantity]]*customer_project_data_500_rows[[#This Row],[Price]]</f>
        <v>112873.3</v>
      </c>
    </row>
    <row r="491" spans="1:12" x14ac:dyDescent="0.3">
      <c r="A491">
        <v>1490</v>
      </c>
      <c r="B491" s="1" t="s">
        <v>520</v>
      </c>
      <c r="C491" s="1" t="s">
        <v>531</v>
      </c>
      <c r="D491">
        <v>44</v>
      </c>
      <c r="E491" s="1" t="s">
        <v>12</v>
      </c>
      <c r="F491" s="2">
        <v>45017</v>
      </c>
      <c r="G491" s="1" t="s">
        <v>25</v>
      </c>
      <c r="H491" s="1" t="s">
        <v>14</v>
      </c>
      <c r="I491">
        <v>1</v>
      </c>
      <c r="J491">
        <v>30726.31</v>
      </c>
      <c r="K491" s="1" t="s">
        <v>26</v>
      </c>
      <c r="L491" s="1">
        <f>customer_project_data_500_rows[[#This Row],[Quantity]]*customer_project_data_500_rows[[#This Row],[Price]]</f>
        <v>30726.31</v>
      </c>
    </row>
    <row r="492" spans="1:12" x14ac:dyDescent="0.3">
      <c r="A492">
        <v>1491</v>
      </c>
      <c r="B492" s="1" t="s">
        <v>521</v>
      </c>
      <c r="C492" s="1" t="s">
        <v>532</v>
      </c>
      <c r="D492">
        <v>38</v>
      </c>
      <c r="E492" s="1" t="s">
        <v>36</v>
      </c>
      <c r="F492" s="2">
        <v>45617</v>
      </c>
      <c r="G492" s="1" t="s">
        <v>13</v>
      </c>
      <c r="H492" s="1" t="s">
        <v>14</v>
      </c>
      <c r="I492">
        <v>5</v>
      </c>
      <c r="J492">
        <v>11039.27</v>
      </c>
      <c r="K492" s="1" t="s">
        <v>15</v>
      </c>
      <c r="L492" s="1">
        <f>customer_project_data_500_rows[[#This Row],[Quantity]]*customer_project_data_500_rows[[#This Row],[Price]]</f>
        <v>55196.350000000006</v>
      </c>
    </row>
    <row r="493" spans="1:12" x14ac:dyDescent="0.3">
      <c r="A493">
        <v>1492</v>
      </c>
      <c r="B493" s="1" t="s">
        <v>522</v>
      </c>
      <c r="C493" s="1" t="s">
        <v>532</v>
      </c>
      <c r="D493">
        <v>33</v>
      </c>
      <c r="E493" s="1" t="s">
        <v>12</v>
      </c>
      <c r="F493" s="2">
        <v>45205</v>
      </c>
      <c r="G493" s="1" t="s">
        <v>22</v>
      </c>
      <c r="H493" s="1" t="s">
        <v>14</v>
      </c>
      <c r="I493">
        <v>3</v>
      </c>
      <c r="J493">
        <v>12863.11</v>
      </c>
      <c r="K493" s="1" t="s">
        <v>26</v>
      </c>
      <c r="L493" s="1">
        <f>customer_project_data_500_rows[[#This Row],[Quantity]]*customer_project_data_500_rows[[#This Row],[Price]]</f>
        <v>38589.33</v>
      </c>
    </row>
    <row r="494" spans="1:12" x14ac:dyDescent="0.3">
      <c r="A494">
        <v>1493</v>
      </c>
      <c r="B494" s="1" t="s">
        <v>523</v>
      </c>
      <c r="C494" s="1" t="s">
        <v>532</v>
      </c>
      <c r="D494">
        <v>19</v>
      </c>
      <c r="E494" s="1" t="s">
        <v>12</v>
      </c>
      <c r="F494" s="2">
        <v>44929</v>
      </c>
      <c r="G494" s="1" t="s">
        <v>30</v>
      </c>
      <c r="H494" s="1" t="s">
        <v>19</v>
      </c>
      <c r="I494">
        <v>2</v>
      </c>
      <c r="J494">
        <v>6051.45</v>
      </c>
      <c r="K494" s="1" t="s">
        <v>15</v>
      </c>
      <c r="L494" s="1">
        <f>customer_project_data_500_rows[[#This Row],[Quantity]]*customer_project_data_500_rows[[#This Row],[Price]]</f>
        <v>12102.9</v>
      </c>
    </row>
    <row r="495" spans="1:12" x14ac:dyDescent="0.3">
      <c r="A495">
        <v>1494</v>
      </c>
      <c r="B495" s="1" t="s">
        <v>524</v>
      </c>
      <c r="C495" s="1" t="s">
        <v>42</v>
      </c>
      <c r="D495">
        <v>23</v>
      </c>
      <c r="E495" s="1" t="s">
        <v>36</v>
      </c>
      <c r="F495" s="2">
        <v>45374</v>
      </c>
      <c r="G495" s="1" t="s">
        <v>18</v>
      </c>
      <c r="H495" s="1" t="s">
        <v>14</v>
      </c>
      <c r="I495">
        <v>4</v>
      </c>
      <c r="J495">
        <v>15725.64</v>
      </c>
      <c r="K495" s="1" t="s">
        <v>26</v>
      </c>
      <c r="L495" s="1">
        <f>customer_project_data_500_rows[[#This Row],[Quantity]]*customer_project_data_500_rows[[#This Row],[Price]]</f>
        <v>62902.559999999998</v>
      </c>
    </row>
    <row r="496" spans="1:12" x14ac:dyDescent="0.3">
      <c r="A496">
        <v>1495</v>
      </c>
      <c r="B496" s="1" t="s">
        <v>525</v>
      </c>
      <c r="C496" s="1" t="s">
        <v>42</v>
      </c>
      <c r="D496">
        <v>20</v>
      </c>
      <c r="E496" s="1" t="s">
        <v>17</v>
      </c>
      <c r="F496" s="2">
        <v>45055</v>
      </c>
      <c r="G496" s="1" t="s">
        <v>25</v>
      </c>
      <c r="H496" s="1" t="s">
        <v>23</v>
      </c>
      <c r="I496">
        <v>1</v>
      </c>
      <c r="J496">
        <v>25123.69</v>
      </c>
      <c r="K496" s="1" t="s">
        <v>26</v>
      </c>
      <c r="L496" s="1">
        <f>customer_project_data_500_rows[[#This Row],[Quantity]]*customer_project_data_500_rows[[#This Row],[Price]]</f>
        <v>25123.69</v>
      </c>
    </row>
    <row r="497" spans="1:12" x14ac:dyDescent="0.3">
      <c r="A497">
        <v>1496</v>
      </c>
      <c r="B497" s="1" t="s">
        <v>526</v>
      </c>
      <c r="C497" s="1" t="s">
        <v>532</v>
      </c>
      <c r="D497">
        <v>43</v>
      </c>
      <c r="E497" s="1" t="s">
        <v>17</v>
      </c>
      <c r="F497" s="2">
        <v>45531</v>
      </c>
      <c r="G497" s="1" t="s">
        <v>13</v>
      </c>
      <c r="H497" s="1" t="s">
        <v>23</v>
      </c>
      <c r="I497">
        <v>4</v>
      </c>
      <c r="J497">
        <v>24745.49</v>
      </c>
      <c r="K497" s="1" t="s">
        <v>15</v>
      </c>
      <c r="L497" s="1">
        <f>customer_project_data_500_rows[[#This Row],[Quantity]]*customer_project_data_500_rows[[#This Row],[Price]]</f>
        <v>98981.96</v>
      </c>
    </row>
    <row r="498" spans="1:12" x14ac:dyDescent="0.3">
      <c r="A498">
        <v>1497</v>
      </c>
      <c r="B498" s="1" t="s">
        <v>527</v>
      </c>
      <c r="C498" s="1" t="s">
        <v>42</v>
      </c>
      <c r="D498">
        <v>46</v>
      </c>
      <c r="E498" s="1" t="s">
        <v>17</v>
      </c>
      <c r="F498" s="2">
        <v>45286</v>
      </c>
      <c r="G498" s="1" t="s">
        <v>13</v>
      </c>
      <c r="H498" s="1" t="s">
        <v>19</v>
      </c>
      <c r="I498">
        <v>4</v>
      </c>
      <c r="J498">
        <v>49781.07</v>
      </c>
      <c r="K498" s="1" t="s">
        <v>39</v>
      </c>
      <c r="L498" s="1">
        <f>customer_project_data_500_rows[[#This Row],[Quantity]]*customer_project_data_500_rows[[#This Row],[Price]]</f>
        <v>199124.28</v>
      </c>
    </row>
    <row r="499" spans="1:12" x14ac:dyDescent="0.3">
      <c r="A499">
        <v>1498</v>
      </c>
      <c r="B499" s="1" t="s">
        <v>528</v>
      </c>
      <c r="C499" s="1" t="s">
        <v>532</v>
      </c>
      <c r="D499">
        <v>37</v>
      </c>
      <c r="E499" s="1" t="s">
        <v>32</v>
      </c>
      <c r="F499" s="2">
        <v>45188</v>
      </c>
      <c r="G499" s="1" t="s">
        <v>22</v>
      </c>
      <c r="H499" s="1" t="s">
        <v>19</v>
      </c>
      <c r="I499">
        <v>2</v>
      </c>
      <c r="J499">
        <v>49064.87</v>
      </c>
      <c r="K499" s="1" t="s">
        <v>26</v>
      </c>
      <c r="L499" s="1">
        <f>customer_project_data_500_rows[[#This Row],[Quantity]]*customer_project_data_500_rows[[#This Row],[Price]]</f>
        <v>98129.74</v>
      </c>
    </row>
    <row r="500" spans="1:12" x14ac:dyDescent="0.3">
      <c r="A500">
        <v>1499</v>
      </c>
      <c r="B500" s="1" t="s">
        <v>529</v>
      </c>
      <c r="C500" s="1" t="s">
        <v>42</v>
      </c>
      <c r="D500">
        <v>61</v>
      </c>
      <c r="E500" s="1" t="s">
        <v>17</v>
      </c>
      <c r="F500" s="2">
        <v>45127</v>
      </c>
      <c r="G500" s="1" t="s">
        <v>18</v>
      </c>
      <c r="H500" s="1" t="s">
        <v>19</v>
      </c>
      <c r="I500">
        <v>4</v>
      </c>
      <c r="J500">
        <v>22109.86</v>
      </c>
      <c r="K500" s="1" t="s">
        <v>20</v>
      </c>
      <c r="L500" s="1">
        <f>customer_project_data_500_rows[[#This Row],[Quantity]]*customer_project_data_500_rows[[#This Row],[Price]]</f>
        <v>88439.44</v>
      </c>
    </row>
    <row r="501" spans="1:12" x14ac:dyDescent="0.3">
      <c r="A501">
        <v>1500</v>
      </c>
      <c r="B501" s="1" t="s">
        <v>530</v>
      </c>
      <c r="C501" s="1" t="s">
        <v>532</v>
      </c>
      <c r="D501">
        <v>35</v>
      </c>
      <c r="E501" s="1" t="s">
        <v>32</v>
      </c>
      <c r="F501" s="2">
        <v>44936</v>
      </c>
      <c r="G501" s="1" t="s">
        <v>30</v>
      </c>
      <c r="H501" s="1" t="s">
        <v>23</v>
      </c>
      <c r="I501">
        <v>3</v>
      </c>
      <c r="J501">
        <v>48615.02</v>
      </c>
      <c r="K501" s="1" t="s">
        <v>39</v>
      </c>
      <c r="L501" s="1">
        <f>customer_project_data_500_rows[[#This Row],[Quantity]]*customer_project_data_500_rows[[#This Row],[Price]]</f>
        <v>145845.06</v>
      </c>
    </row>
    <row r="502" spans="1:12" x14ac:dyDescent="0.3">
      <c r="B502" s="1"/>
      <c r="C502" s="1"/>
      <c r="D502">
        <f>SUBTOTAL(101,customer_project_data_500_rows[Age])</f>
        <v>41.56</v>
      </c>
      <c r="E502" s="1"/>
      <c r="F502" s="2"/>
      <c r="G502" s="1"/>
      <c r="H502" s="1"/>
      <c r="K502" s="1"/>
      <c r="L502">
        <f>SUBTOTAL(109,customer_project_data_500_rows[total sale])</f>
        <v>36016899.609999985</v>
      </c>
    </row>
    <row r="1048576" spans="4:4" x14ac:dyDescent="0.3">
      <c r="D1048576">
        <f>AVERAGE(D2:D1048575)</f>
        <v>41.56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D9DCB8-07A1-49A2-A3E1-AEBB993C39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customer_project_data_500_rows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dhamodara rao mamidi</dc:creator>
  <cp:lastModifiedBy>dhamodara rao mamidi</cp:lastModifiedBy>
  <dcterms:created xsi:type="dcterms:W3CDTF">2026-02-17T00:44:25Z</dcterms:created>
  <dcterms:modified xsi:type="dcterms:W3CDTF">2026-02-18T17:02:22Z</dcterms:modified>
</cp:coreProperties>
</file>