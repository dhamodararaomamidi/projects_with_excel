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D:\PROJECTS\"/>
    </mc:Choice>
  </mc:AlternateContent>
  <xr:revisionPtr revIDLastSave="0" documentId="13_ncr:1_{E5F7701B-EBCA-427E-ABF1-A3697DCE649F}" xr6:coauthVersionLast="47" xr6:coauthVersionMax="47" xr10:uidLastSave="{00000000-0000-0000-0000-000000000000}"/>
  <bookViews>
    <workbookView xWindow="-108" yWindow="-108" windowWidth="23256" windowHeight="13896" activeTab="2" xr2:uid="{4F8C3DA9-C7A8-4313-BF41-ECBFD35E93D4}"/>
  </bookViews>
  <sheets>
    <sheet name="Sheet1" sheetId="2" r:id="rId1"/>
    <sheet name="Salary_Analytics" sheetId="1" r:id="rId2"/>
    <sheet name="Sheet2" sheetId="3" r:id="rId3"/>
  </sheets>
  <definedNames>
    <definedName name="_xlchart.v1.0" hidden="1">Salary_Analytics!$A$2:$D$22</definedName>
    <definedName name="_xlchart.v1.1" hidden="1">Salary_Analytics!$E$1</definedName>
    <definedName name="_xlchart.v1.2" hidden="1">Salary_Analytics!$E$2:$E$22</definedName>
    <definedName name="_xlchart.v1.3" hidden="1">Salary_Analytics!$F$1</definedName>
    <definedName name="_xlchart.v1.4" hidden="1">Salary_Analytics!$F$2:$F$22</definedName>
    <definedName name="_xlchart.v1.5" hidden="1">Salary_Analytics!$G$1</definedName>
    <definedName name="_xlchart.v1.6" hidden="1">Salary_Analytics!$G$2:$G$22</definedName>
    <definedName name="Slicer_DEPARTMENT1">#N/A</definedName>
    <definedName name="Slicer_PROMOTION_STATUS1">#N/A</definedName>
    <definedName name="Slicer_RATING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2" i="1" l="1"/>
  <c r="G2" i="1"/>
  <c r="G3" i="1"/>
  <c r="G4" i="1"/>
  <c r="G5" i="1"/>
  <c r="G6" i="1"/>
  <c r="G7" i="1"/>
  <c r="G8" i="1"/>
  <c r="G9" i="1"/>
  <c r="G10" i="1"/>
  <c r="G11" i="1"/>
  <c r="G12" i="1"/>
  <c r="G13" i="1"/>
  <c r="G14" i="1"/>
  <c r="G15" i="1"/>
  <c r="G16" i="1"/>
  <c r="G17" i="1"/>
  <c r="G18" i="1"/>
  <c r="G19" i="1"/>
  <c r="G20" i="1"/>
  <c r="G21"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<sst xmlns="http://schemas.openxmlformats.org/spreadsheetml/2006/main" count="70" uniqueCount="41">
  <si>
    <t>Sai</t>
  </si>
  <si>
    <t>IT</t>
  </si>
  <si>
    <t>Ravi</t>
  </si>
  <si>
    <t>HR</t>
  </si>
  <si>
    <t>Srinu</t>
  </si>
  <si>
    <t>Finance</t>
  </si>
  <si>
    <t>Raju</t>
  </si>
  <si>
    <t>Marketing</t>
  </si>
  <si>
    <t>Sneha</t>
  </si>
  <si>
    <t>Ramya</t>
  </si>
  <si>
    <t>Supriya</t>
  </si>
  <si>
    <t>Vamsi</t>
  </si>
  <si>
    <t>Analysis</t>
  </si>
  <si>
    <t>Raja Rao</t>
  </si>
  <si>
    <t>urimila</t>
  </si>
  <si>
    <t>Virat</t>
  </si>
  <si>
    <t>Arjun</t>
  </si>
  <si>
    <t>Sales</t>
  </si>
  <si>
    <t>Raja</t>
  </si>
  <si>
    <t>Sujatha</t>
  </si>
  <si>
    <t>Thulasi</t>
  </si>
  <si>
    <t>Igris</t>
  </si>
  <si>
    <t>Spider</t>
  </si>
  <si>
    <t>kumar</t>
  </si>
  <si>
    <t>kiran</t>
  </si>
  <si>
    <t>Shekar</t>
  </si>
  <si>
    <t>ID</t>
  </si>
  <si>
    <t>NAME</t>
  </si>
  <si>
    <t>DEPARTMENT</t>
  </si>
  <si>
    <t>EXPERIENCE</t>
  </si>
  <si>
    <t>SALARY</t>
  </si>
  <si>
    <t>RATING</t>
  </si>
  <si>
    <t>PROMOTION_STATUS</t>
  </si>
  <si>
    <t>Sum of Salary</t>
  </si>
  <si>
    <t>Row Labels</t>
  </si>
  <si>
    <t>Grand Total</t>
  </si>
  <si>
    <t>Sum of SALARY</t>
  </si>
  <si>
    <t>DEPARTMENT_WISE</t>
  </si>
  <si>
    <t>Average of SALARY</t>
  </si>
  <si>
    <t>Count of PROMOTION_STATUS</t>
  </si>
  <si>
    <t xml:space="preserve"> EMPLOYEE PERFORMANCE &amp; SALARY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</si>
</sst>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4"/>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6" fillId="0" borderId="0" xfId="0" applyFont="1"/>
    <xf numFmtId="0" fontId="0" fillId="0" borderId="0" xfId="0" pivotButton="1"/>
    <xf numFmtId="0" fontId="0" fillId="0" borderId="0" xfId="0" applyAlignment="1">
      <alignment horizontal="left"/>
    </xf>
    <xf numFmtId="0" fontId="18" fillId="0" borderId="0" xfId="0" applyFont="1"/>
    <xf numFmtId="1"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0" formatCode="General"/>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[Salary_Analytics.xlsx]Sheet1!PivotTable1</c:name>
    <c:fmtId val="5"/>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Sum</a:t>
            </a:r>
            <a:r>
              <a:rPr lang="en-US" baseline="0"/>
              <a:t> Of Salary</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7198855351414408"/>
          <c:w val="0.93888888888888888"/>
          <c:h val="0.51552165354330703"/>
        </c:manualLayout>
      </c:layout>
      <c:barChart>
        <c:barDir val="col"/>
        <c:grouping val="clustered"/>
        <c:varyColors val="0"/>
        <c:ser>
          <c:idx val="0"/>
          <c:order val="0"/>
          <c:tx>
            <c:strRef>
              <c:f>Sheet1!$B$3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Sheet1!$A$4:$A$10</c:f>
              <c:strCache>
                <c:ptCount val="6"/>
                <c:pt idx="0">
                  <c:v>Analysis</c:v>
                </c:pt>
                <c:pt idx="1">
                  <c:v>Finance</c:v>
                </c:pt>
                <c:pt idx="2">
                  <c:v>HR</c:v>
                </c:pt>
                <c:pt idx="3">
                  <c:v>IT</c:v>
                </c:pt>
                <c:pt idx="4">
                  <c:v>Marketing</c:v>
                </c:pt>
                <c:pt idx="5">
                  <c:v>Sales</c:v>
                </c:pt>
              </c:strCache>
            </c:strRef>
          </c:cat>
          <c:val>
            <c:numRef>
              <c:f>Sheet1!$B$4:$B$10</c:f>
              <c:numCache>
                <c:formatCode>General</c:formatCode>
                <c:ptCount val="6"/>
                <c:pt idx="0">
                  <c:v>189000</c:v>
                </c:pt>
                <c:pt idx="1">
                  <c:v>198000</c:v>
                </c:pt>
                <c:pt idx="2">
                  <c:v>141000</c:v>
                </c:pt>
                <c:pt idx="3">
                  <c:v>187000</c:v>
                </c:pt>
                <c:pt idx="4">
                  <c:v>175000</c:v>
                </c:pt>
                <c:pt idx="5">
                  <c:v>25000</c:v>
                </c:pt>
              </c:numCache>
            </c:numRef>
          </c:val>
          <c:extLst>
            <c:ext xmlns:c16="http://schemas.microsoft.com/office/drawing/2014/chart" uri="{C3380CC4-5D6E-409C-BE32-E72D297353CC}">
              <c16:uniqueId val="{00000000-B50A-4EFF-A90E-33A23AEE919A}"/>
            </c:ext>
          </c:extLst>
        </c:ser>
        <c:dLbls>
          <c:dLblPos val="inEnd"/>
          <c:showLegendKey val="0"/>
          <c:showVal val="1"/>
          <c:showCatName val="0"/>
          <c:showSerName val="0"/>
          <c:showPercent val="0"/>
          <c:showBubbleSize val="0"/>
        </c:dLbls>
        <c:gapWidth val="41"/>
        <c:axId val="2031405951"/>
        <c:axId val="2031412191"/>
      </c:barChart>
      <c:catAx>
        <c:axId val="2031405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031412191"/>
        <c:crosses val="autoZero"/>
        <c:auto val="1"/>
        <c:lblAlgn val="ctr"/>
        <c:lblOffset val="100"/>
        <c:noMultiLvlLbl val="0"/>
      </c:catAx>
      <c:valAx>
        <c:axId val="2031412191"/>
        <c:scaling>
          <c:orientation val="minMax"/>
        </c:scaling>
        <c:delete val="1"/>
        <c:axPos val="l"/>
        <c:numFmt formatCode="General" sourceLinked="1"/>
        <c:majorTickMark val="none"/>
        <c:minorTickMark val="none"/>
        <c:tickLblPos val="nextTo"/>
        <c:crossAx val="203140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[Salary_Analytics.xlsx]Sheet1!PivotTable16</c:name>
    <c:fmtId val="5"/>
  </c:pivotSource>
  <c:chart>
    <c:autoTitleDeleted val="1"/>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Sheet1!$F$2:$F$6</c:f>
              <c:strCache>
                <c:ptCount val="4"/>
                <c:pt idx="0">
                  <c:v>2</c:v>
                </c:pt>
                <c:pt idx="1">
                  <c:v>3</c:v>
                </c:pt>
                <c:pt idx="2">
                  <c:v>4</c:v>
                </c:pt>
                <c:pt idx="3">
                  <c:v>5</c:v>
                </c:pt>
              </c:strCache>
            </c:strRef>
          </c:cat>
          <c:val>
            <c:numRef>
              <c:f>Sheet1!$G$2:$G$6</c:f>
              <c:numCache>
                <c:formatCode>0</c:formatCode>
                <c:ptCount val="4"/>
                <c:pt idx="0">
                  <c:v>27500</c:v>
                </c:pt>
                <c:pt idx="1">
                  <c:v>38714.285714285717</c:v>
                </c:pt>
                <c:pt idx="2">
                  <c:v>51500</c:v>
                </c:pt>
                <c:pt idx="3">
                  <c:v>75000</c:v>
                </c:pt>
              </c:numCache>
            </c:numRef>
          </c:val>
          <c:extLst>
            <c:ext xmlns:c16="http://schemas.microsoft.com/office/drawing/2014/chart" uri="{C3380CC4-5D6E-409C-BE32-E72D297353CC}">
              <c16:uniqueId val="{00000000-DAE8-440A-B5D5-8E89E954253F}"/>
            </c:ext>
          </c:extLst>
        </c:ser>
        <c:dLbls>
          <c:dLblPos val="outEnd"/>
          <c:showLegendKey val="0"/>
          <c:showVal val="1"/>
          <c:showCatName val="0"/>
          <c:showSerName val="0"/>
          <c:showPercent val="0"/>
          <c:showBubbleSize val="0"/>
        </c:dLbls>
        <c:gapWidth val="355"/>
        <c:overlap val="-70"/>
        <c:axId val="2031416031"/>
        <c:axId val="2031432831"/>
      </c:barChart>
      <c:catAx>
        <c:axId val="203141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432831"/>
        <c:crosses val="autoZero"/>
        <c:auto val="1"/>
        <c:lblAlgn val="ctr"/>
        <c:lblOffset val="100"/>
        <c:noMultiLvlLbl val="0"/>
      </c:catAx>
      <c:valAx>
        <c:axId val="203143283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416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[Salary_Analytics.xlsx]Sheet1!PivotTable17</c:name>
    <c:fmtId val="5"/>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111111111111108E-2"/>
          <c:y val="0.14249781277340332"/>
          <c:w val="0.73472222222222228"/>
          <c:h val="0.80657626130067073"/>
        </c:manualLayout>
      </c:layout>
      <c:pie3DChart>
        <c:varyColors val="1"/>
        <c:ser>
          <c:idx val="0"/>
          <c:order val="0"/>
          <c:tx>
            <c:strRef>
              <c:f>Sheet1!$D$18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46E-4A64-8D93-7EF62C52815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46E-4A64-8D93-7EF62C528155}"/>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446E-4A64-8D93-7EF62C528155}"/>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446E-4A64-8D93-7EF62C528155}"/>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446E-4A64-8D93-7EF62C528155}"/>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446E-4A64-8D93-7EF62C52815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Sheet1!$C$19:$C$25</c:f>
              <c:strCache>
                <c:ptCount val="6"/>
                <c:pt idx="0">
                  <c:v>Analysis</c:v>
                </c:pt>
                <c:pt idx="1">
                  <c:v>Finance</c:v>
                </c:pt>
                <c:pt idx="2">
                  <c:v>HR</c:v>
                </c:pt>
                <c:pt idx="3">
                  <c:v>IT</c:v>
                </c:pt>
                <c:pt idx="4">
                  <c:v>Marketing</c:v>
                </c:pt>
                <c:pt idx="5">
                  <c:v>Sales</c:v>
                </c:pt>
              </c:strCache>
            </c:strRef>
          </c:cat>
          <c:val>
            <c:numRef>
              <c:f>Sheet1!$D$19:$D$25</c:f>
              <c:numCache>
                <c:formatCode>General</c:formatCode>
                <c:ptCount val="6"/>
                <c:pt idx="0">
                  <c:v>4</c:v>
                </c:pt>
                <c:pt idx="1">
                  <c:v>4</c:v>
                </c:pt>
                <c:pt idx="2">
                  <c:v>4</c:v>
                </c:pt>
                <c:pt idx="3">
                  <c:v>3</c:v>
                </c:pt>
                <c:pt idx="4">
                  <c:v>4</c:v>
                </c:pt>
                <c:pt idx="5">
                  <c:v>1</c:v>
                </c:pt>
              </c:numCache>
            </c:numRef>
          </c:val>
          <c:extLst>
            <c:ext xmlns:c16="http://schemas.microsoft.com/office/drawing/2014/chart" uri="{C3380CC4-5D6E-409C-BE32-E72D297353CC}">
              <c16:uniqueId val="{0000000C-446E-4A64-8D93-7EF62C528155}"/>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data id="1">
      <cx:strDim type="cat">
        <cx:f>_xlchart.v1.0</cx:f>
      </cx:strDim>
      <cx:numDim type="val">
        <cx:f>_xlchart.v1.4</cx:f>
      </cx:numDim>
    </cx:data>
    <cx:data id="2">
      <cx:strDim type="cat">
        <cx:f>_xlchart.v1.0</cx:f>
      </cx:strDim>
      <cx:numDim type="val">
        <cx:f>_xlchart.v1.6</cx:f>
      </cx:numDim>
    </cx:data>
  </cx:chartData>
  <cx:chart>
    <cx:title pos="t" align="ctr" overlay="0">
      <cx:tx>
        <cx:rich>
          <a:bodyPr spcFirstLastPara="1" vertOverflow="ellipsis" horzOverflow="overflow" wrap="square" lIns="0" tIns="0" rIns="0" bIns="0" anchor="ctr" anchorCtr="1"/>
          <a:lstStyle/>
          <a:p>
            <a:pPr algn="ctr" rtl="0">
              <a:defRPr/>
            </a:pPr>
            <a:r>
              <a:rPr lang="en-IN"/>
              <a:t>Salary Distribution of Employees</a:t>
            </a:r>
            <a:r>
              <a:rPr lang="en-US" sz="1800" b="1" i="0" u="none" strike="noStrike" baseline="0">
                <a:solidFill>
                  <a:sysClr val="windowText" lastClr="000000">
                    <a:lumMod val="75000"/>
                    <a:lumOff val="25000"/>
                  </a:sysClr>
                </a:solidFill>
                <a:latin typeface="Aptos Narrow" panose="02110004020202020204"/>
              </a:rPr>
              <a:t> Title</a:t>
            </a:r>
          </a:p>
        </cx:rich>
      </cx:tx>
    </cx:title>
    <cx:plotArea>
      <cx:plotAreaRegion>
        <cx:series layoutId="clusteredColumn" uniqueId="{64AFBA46-A746-448B-A35B-4A1FADC0DE16}" formatIdx="0">
          <cx:tx>
            <cx:txData>
              <cx:f>_xlchart.v1.1</cx:f>
              <cx:v>SALARY</cx:v>
            </cx:txData>
          </cx:tx>
          <cx:dataLabels>
            <cx:visibility seriesName="0" categoryName="0" value="1"/>
          </cx:dataLabels>
          <cx:dataId val="0"/>
          <cx:layoutPr>
            <cx:binning intervalClosed="r"/>
          </cx:layoutPr>
        </cx:series>
        <cx:series layoutId="clusteredColumn" hidden="1" uniqueId="{7DF01283-51BE-4DE0-AEA5-3386ACFFDAD5}" formatIdx="1">
          <cx:tx>
            <cx:txData>
              <cx:f>_xlchart.v1.3</cx:f>
              <cx:v>RATING</cx:v>
            </cx:txData>
          </cx:tx>
          <cx:dataLabels>
            <cx:visibility seriesName="0" categoryName="0" value="1"/>
          </cx:dataLabels>
          <cx:dataId val="1"/>
          <cx:layoutPr>
            <cx:binning intervalClosed="r"/>
          </cx:layoutPr>
        </cx:series>
        <cx:series layoutId="clusteredColumn" hidden="1" uniqueId="{A325DD6D-20AB-4D3D-BC22-56D1519A44E0}" formatIdx="2">
          <cx:tx>
            <cx:txData>
              <cx:f>_xlchart.v1.5</cx:f>
              <cx:v>PROMOTION_STATUS</cx:v>
            </cx:txData>
          </cx:tx>
          <cx:dataLabels>
            <cx:visibility seriesName="0" categoryName="0" value="1"/>
          </cx:dataLabels>
          <cx:dataId val="2"/>
          <cx:layoutPr>
            <cx:binning intervalClosed="r"/>
          </cx:layoutPr>
        </cx:series>
      </cx:plotAreaRegion>
      <cx:axis id="0">
        <cx:catScaling gapWidth="0"/>
        <cx:tickLabels/>
      </cx:axis>
      <cx:axis id="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228600</xdr:colOff>
      <xdr:row>2</xdr:row>
      <xdr:rowOff>137160</xdr:rowOff>
    </xdr:from>
    <xdr:to>
      <xdr:col>7</xdr:col>
      <xdr:colOff>533400</xdr:colOff>
      <xdr:row>17</xdr:row>
      <xdr:rowOff>137160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FC20BF0-5C70-4B04-A2FB-FE6804A2DB7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28600" y="71628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236220</xdr:colOff>
      <xdr:row>17</xdr:row>
      <xdr:rowOff>144780</xdr:rowOff>
    </xdr:from>
    <xdr:to>
      <xdr:col>7</xdr:col>
      <xdr:colOff>541020</xdr:colOff>
      <xdr:row>32</xdr:row>
      <xdr:rowOff>144780</xdr:rowOff>
    </xdr:to>
    <xdr:graphicFrame macro="">
      <xdr:nvGraphicFramePr>
        <xdr:cNvPr id="3" name="Chart 2">
          <a:extLst>
            <a:ext uri="{FF2B5EF4-FFF2-40B4-BE49-F238E27FC236}">
              <a16:creationId xmlns:a16="http://schemas.microsoft.com/office/drawing/2014/main" id="{C8DBB745-2467-4E56-8BB5-C39090981E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586740</xdr:colOff>
      <xdr:row>17</xdr:row>
      <xdr:rowOff>53340</xdr:rowOff>
    </xdr:from>
    <xdr:to>
      <xdr:col>18</xdr:col>
      <xdr:colOff>281940</xdr:colOff>
      <xdr:row>32</xdr:row>
      <xdr:rowOff>53340</xdr:rowOff>
    </xdr:to>
    <xdr:graphicFrame macro="">
      <xdr:nvGraphicFramePr>
        <xdr:cNvPr id="4" name="Chart 3">
          <a:extLst>
            <a:ext uri="{FF2B5EF4-FFF2-40B4-BE49-F238E27FC236}">
              <a16:creationId xmlns:a16="http://schemas.microsoft.com/office/drawing/2014/main" id="{74DB22E9-6360-41BB-87D4-F0319AAE8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601980</xdr:colOff>
      <xdr:row>2</xdr:row>
      <xdr:rowOff>53340</xdr:rowOff>
    </xdr:from>
    <xdr:to>
      <xdr:col>18</xdr:col>
      <xdr:colOff>297180</xdr:colOff>
      <xdr:row>17</xdr:row>
      <xdr:rowOff>53340</xdr:rowOff>
    </xdr:to>
    <xdr:graphicFrame macro="">
      <xdr:nvGraphicFramePr>
        <xdr:cNvPr id="5" name="Chart 4">
          <a:extLst>
            <a:ext uri="{FF2B5EF4-FFF2-40B4-BE49-F238E27FC236}">
              <a16:creationId xmlns:a16="http://schemas.microsoft.com/office/drawing/2014/main" id="{FDDC05F5-0EC7-456F-9B02-B50787E650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563880</xdr:colOff>
      <xdr:row>18</xdr:row>
      <xdr:rowOff>144780</xdr:rowOff>
    </xdr:from>
    <xdr:to>
      <xdr:col>10</xdr:col>
      <xdr:colOff>563880</xdr:colOff>
      <xdr:row>32</xdr:row>
      <xdr:rowOff>165735</xdr:rowOff>
    </xdr:to>
    <mc:AlternateContent xmlns:mc="http://schemas.openxmlformats.org/markup-compatibility/2006" xmlns:a14="http://schemas.microsoft.com/office/drawing/2010/main">
      <mc:Choice Requires="a14">
        <xdr:graphicFrame macro="">
          <xdr:nvGraphicFramePr>
            <xdr:cNvPr id="7" name="DEPARTMENT 1">
              <a:extLst>
                <a:ext uri="{FF2B5EF4-FFF2-40B4-BE49-F238E27FC236}">
                  <a16:creationId xmlns:a16="http://schemas.microsoft.com/office/drawing/2014/main" id="{8D50D3F8-D9AE-F0ED-1E52-B477C9A41AA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4831080" y="36499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548640</xdr:colOff>
      <xdr:row>4</xdr:row>
      <xdr:rowOff>45721</xdr:rowOff>
    </xdr:from>
    <xdr:to>
      <xdr:col>10</xdr:col>
      <xdr:colOff>548640</xdr:colOff>
      <xdr:row>13</xdr:row>
      <xdr:rowOff>68581</xdr:rowOff>
    </xdr:to>
    <mc:AlternateContent xmlns:mc="http://schemas.openxmlformats.org/markup-compatibility/2006" xmlns:a14="http://schemas.microsoft.com/office/drawing/2010/main">
      <mc:Choice Requires="a14">
        <xdr:graphicFrame macro="">
          <xdr:nvGraphicFramePr>
            <xdr:cNvPr id="8" name="RATING 1">
              <a:extLst>
                <a:ext uri="{FF2B5EF4-FFF2-40B4-BE49-F238E27FC236}">
                  <a16:creationId xmlns:a16="http://schemas.microsoft.com/office/drawing/2014/main" id="{0537506A-E76F-FA42-73A1-135E389EFDCE}"/>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mlns="">
        <xdr:sp macro="" textlink="">
          <xdr:nvSpPr>
            <xdr:cNvPr id="0" name=""/>
            <xdr:cNvSpPr>
              <a:spLocks noTextEdit="1"/>
            </xdr:cNvSpPr>
          </xdr:nvSpPr>
          <xdr:spPr>
            <a:xfrm>
              <a:off x="4815840" y="990601"/>
              <a:ext cx="1828800" cy="1668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556260</xdr:colOff>
      <xdr:row>13</xdr:row>
      <xdr:rowOff>76201</xdr:rowOff>
    </xdr:from>
    <xdr:to>
      <xdr:col>10</xdr:col>
      <xdr:colOff>556260</xdr:colOff>
      <xdr:row>18</xdr:row>
      <xdr:rowOff>121921</xdr:rowOff>
    </xdr:to>
    <mc:AlternateContent xmlns:mc="http://schemas.openxmlformats.org/markup-compatibility/2006" xmlns:a14="http://schemas.microsoft.com/office/drawing/2010/main">
      <mc:Choice Requires="a14">
        <xdr:graphicFrame macro="">
          <xdr:nvGraphicFramePr>
            <xdr:cNvPr id="11" name="PROMOTION_STATUS 1">
              <a:extLst>
                <a:ext uri="{FF2B5EF4-FFF2-40B4-BE49-F238E27FC236}">
                  <a16:creationId xmlns:a16="http://schemas.microsoft.com/office/drawing/2014/main" id="{7033716E-A464-14D0-C7C3-4CDF3E9D0D04}"/>
                </a:ext>
              </a:extLst>
            </xdr:cNvPr>
            <xdr:cNvGraphicFramePr/>
          </xdr:nvGraphicFramePr>
          <xdr:xfrm>
            <a:off x="0" y="0"/>
            <a:ext cx="0" cy="0"/>
          </xdr:xfrm>
          <a:graphic>
            <a:graphicData uri="http://schemas.microsoft.com/office/drawing/2010/slicer">
              <sle:slicer xmlns:sle="http://schemas.microsoft.com/office/drawing/2010/slicer" name="PROMOTION_STATUS 1"/>
            </a:graphicData>
          </a:graphic>
        </xdr:graphicFrame>
      </mc:Choice>
      <mc:Fallback xmlns="">
        <xdr:sp macro="" textlink="">
          <xdr:nvSpPr>
            <xdr:cNvPr id="0" name=""/>
            <xdr:cNvSpPr>
              <a:spLocks noTextEdit="1"/>
            </xdr:cNvSpPr>
          </xdr:nvSpPr>
          <xdr:spPr>
            <a:xfrm>
              <a:off x="4823460" y="2667001"/>
              <a:ext cx="1828800" cy="960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midi dhamodara rao" refreshedDate="46103.634101736112" createdVersion="8" refreshedVersion="8" minRefreshableVersion="3" recordCount="20" xr:uid="{DE8701A2-FB92-4BCA-8621-B8EC9CE6F7BC}">
  <cacheSource type="worksheet">
    <worksheetSource name="Table1"/>
  </cacheSource>
  <cacheFields count="7">
    <cacheField name="ID" numFmtId="0">
      <sharedItems containsSemiMixedTypes="0" containsString="0" containsNumber="1" containsInteger="1" minValue="101" maxValue="120"/>
    </cacheField>
    <cacheField name="NAME" numFmtId="0">
      <sharedItems/>
    </cacheField>
    <cacheField name="DEPARTMENT" numFmtId="0">
      <sharedItems count="6">
        <s v="IT"/>
        <s v="HR"/>
        <s v="Finance"/>
        <s v="Marketing"/>
        <s v="Analysis"/>
        <s v="Sales"/>
      </sharedItems>
    </cacheField>
    <cacheField name="EXPERIENCE" numFmtId="0">
      <sharedItems containsSemiMixedTypes="0" containsString="0" containsNumber="1" containsInteger="1" minValue="1" maxValue="6"/>
    </cacheField>
    <cacheField name="SALARY" numFmtId="0">
      <sharedItems containsSemiMixedTypes="0" containsString="0" containsNumber="1" containsInteger="1" minValue="25000" maxValue="80000"/>
    </cacheField>
    <cacheField name="RATING" numFmtId="0">
      <sharedItems containsSemiMixedTypes="0" containsString="0" containsNumber="1" containsInteger="1" minValue="2" maxValue="5" count="4">
        <n v="4"/>
        <n v="3"/>
        <n v="2"/>
        <n v="5"/>
      </sharedItems>
    </cacheField>
    <cacheField name="PROMOTION_STATUS" numFmtId="0">
      <sharedItems count="2">
        <s v="ELIGIBLE"/>
        <s v="NOT ELIGIBLE"/>
      </sharedItems>
    </cacheField>
  </cacheFields>
  <extLst>
    <ext xmlns:x14="http://schemas.microsoft.com/office/spreadsheetml/2009/9/main" uri="{725AE2AE-9491-48be-B2B4-4EB974FC3084}">
      <x14:pivotCacheDefinition pivotCacheId="20749668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1"/>
    <s v="Sai"/>
    <x v="0"/>
    <n v="4"/>
    <n v="60000"/>
    <x v="0"/>
    <x v="0"/>
  </r>
  <r>
    <n v="102"/>
    <s v="Ravi"/>
    <x v="1"/>
    <n v="2"/>
    <n v="35000"/>
    <x v="1"/>
    <x v="1"/>
  </r>
  <r>
    <n v="103"/>
    <s v="Srinu"/>
    <x v="2"/>
    <n v="1"/>
    <n v="30000"/>
    <x v="2"/>
    <x v="1"/>
  </r>
  <r>
    <n v="104"/>
    <s v="Raju"/>
    <x v="3"/>
    <n v="4"/>
    <n v="45000"/>
    <x v="0"/>
    <x v="0"/>
  </r>
  <r>
    <n v="105"/>
    <s v="Sneha"/>
    <x v="0"/>
    <n v="6"/>
    <n v="80000"/>
    <x v="3"/>
    <x v="0"/>
  </r>
  <r>
    <n v="106"/>
    <s v="Ramya"/>
    <x v="2"/>
    <n v="5"/>
    <n v="75000"/>
    <x v="3"/>
    <x v="0"/>
  </r>
  <r>
    <n v="107"/>
    <s v="Supriya"/>
    <x v="1"/>
    <n v="1"/>
    <n v="28000"/>
    <x v="2"/>
    <x v="1"/>
  </r>
  <r>
    <n v="108"/>
    <s v="Vamsi"/>
    <x v="4"/>
    <n v="2"/>
    <n v="40000"/>
    <x v="1"/>
    <x v="1"/>
  </r>
  <r>
    <n v="109"/>
    <s v="Raja Rao"/>
    <x v="3"/>
    <n v="4"/>
    <n v="50000"/>
    <x v="0"/>
    <x v="0"/>
  </r>
  <r>
    <n v="110"/>
    <s v="urimila"/>
    <x v="4"/>
    <n v="4"/>
    <n v="52000"/>
    <x v="0"/>
    <x v="0"/>
  </r>
  <r>
    <n v="111"/>
    <s v="Virat"/>
    <x v="1"/>
    <n v="3"/>
    <n v="42000"/>
    <x v="1"/>
    <x v="1"/>
  </r>
  <r>
    <n v="112"/>
    <s v="Arjun"/>
    <x v="5"/>
    <n v="1"/>
    <n v="25000"/>
    <x v="2"/>
    <x v="1"/>
  </r>
  <r>
    <n v="113"/>
    <s v="Raja"/>
    <x v="4"/>
    <n v="1"/>
    <n v="27000"/>
    <x v="2"/>
    <x v="1"/>
  </r>
  <r>
    <n v="114"/>
    <s v="Sujatha"/>
    <x v="2"/>
    <n v="2"/>
    <n v="38000"/>
    <x v="1"/>
    <x v="1"/>
  </r>
  <r>
    <n v="115"/>
    <s v="Thulasi"/>
    <x v="0"/>
    <n v="3"/>
    <n v="47000"/>
    <x v="0"/>
    <x v="1"/>
  </r>
  <r>
    <n v="116"/>
    <s v="Igris"/>
    <x v="1"/>
    <n v="2"/>
    <n v="36000"/>
    <x v="1"/>
    <x v="1"/>
  </r>
  <r>
    <n v="117"/>
    <s v="Spider"/>
    <x v="3"/>
    <n v="2"/>
    <n v="39000"/>
    <x v="1"/>
    <x v="1"/>
  </r>
  <r>
    <n v="118"/>
    <s v="kumar"/>
    <x v="3"/>
    <n v="2"/>
    <n v="41000"/>
    <x v="1"/>
    <x v="1"/>
  </r>
  <r>
    <n v="119"/>
    <s v="kiran"/>
    <x v="2"/>
    <n v="3"/>
    <n v="55000"/>
    <x v="0"/>
    <x v="1"/>
  </r>
  <r>
    <n v="120"/>
    <s v="Shekar"/>
    <x v="4"/>
    <n v="5"/>
    <n v="70000"/>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295D97-527A-47A2-9099-3A09AE8B6828}"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1:G6" firstHeaderRow="1" firstDataRow="1" firstDataCol="1"/>
  <pivotFields count="7">
    <pivotField showAll="0"/>
    <pivotField showAll="0"/>
    <pivotField showAll="0"/>
    <pivotField showAll="0"/>
    <pivotField dataField="1" showAll="0"/>
    <pivotField axis="axisRow" showAll="0">
      <items count="5">
        <item x="2"/>
        <item x="1"/>
        <item x="0"/>
        <item x="3"/>
        <item t="default"/>
      </items>
    </pivotField>
    <pivotField showAll="0">
      <items count="3">
        <item x="0"/>
        <item x="1"/>
        <item t="default"/>
      </items>
    </pivotField>
  </pivotFields>
  <rowFields count="1">
    <field x="5"/>
  </rowFields>
  <rowItems count="5">
    <i>
      <x/>
    </i>
    <i>
      <x v="1"/>
    </i>
    <i>
      <x v="2"/>
    </i>
    <i>
      <x v="3"/>
    </i>
    <i t="grand">
      <x/>
    </i>
  </rowItems>
  <colItems count="1">
    <i/>
  </colItems>
  <dataFields count="1">
    <dataField name="Average of SALARY" fld="4" subtotal="average" baseField="5" baseItem="0" numFmtId="1"/>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411062-FD8B-4EBC-A83C-39E61017F02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EPARTMENT_WISE">
  <location ref="A3:B10" firstHeaderRow="1" firstDataRow="1" firstDataCol="1"/>
  <pivotFields count="7">
    <pivotField showAll="0"/>
    <pivotField showAll="0"/>
    <pivotField axis="axisRow" showAll="0">
      <items count="7">
        <item x="4"/>
        <item x="2"/>
        <item x="1"/>
        <item x="0"/>
        <item x="3"/>
        <item x="5"/>
        <item t="default"/>
      </items>
    </pivotField>
    <pivotField showAll="0"/>
    <pivotField dataField="1" showAll="0"/>
    <pivotField showAll="0">
      <items count="5">
        <item x="2"/>
        <item x="1"/>
        <item x="0"/>
        <item x="3"/>
        <item t="default"/>
      </items>
    </pivotField>
    <pivotField showAll="0">
      <items count="3">
        <item x="0"/>
        <item x="1"/>
        <item t="default"/>
      </items>
    </pivotField>
  </pivotFields>
  <rowFields count="1">
    <field x="2"/>
  </rowFields>
  <rowItems count="7">
    <i>
      <x/>
    </i>
    <i>
      <x v="1"/>
    </i>
    <i>
      <x v="2"/>
    </i>
    <i>
      <x v="3"/>
    </i>
    <i>
      <x v="4"/>
    </i>
    <i>
      <x v="5"/>
    </i>
    <i t="grand">
      <x/>
    </i>
  </rowItems>
  <colItems count="1">
    <i/>
  </colItems>
  <dataFields count="1">
    <dataField name="Sum of SALARY" fld="4"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82726D-FDD2-49A1-8A6B-8AA70A66A3E2}"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18:D25" firstHeaderRow="1" firstDataRow="1" firstDataCol="1"/>
  <pivotFields count="7">
    <pivotField showAll="0"/>
    <pivotField showAll="0"/>
    <pivotField axis="axisRow" showAll="0">
      <items count="7">
        <item x="4"/>
        <item x="2"/>
        <item x="1"/>
        <item x="0"/>
        <item x="3"/>
        <item x="5"/>
        <item t="default"/>
      </items>
    </pivotField>
    <pivotField showAll="0"/>
    <pivotField showAll="0"/>
    <pivotField showAll="0">
      <items count="5">
        <item x="2"/>
        <item x="1"/>
        <item x="0"/>
        <item x="3"/>
        <item t="default"/>
      </items>
    </pivotField>
    <pivotField dataField="1" showAll="0">
      <items count="3">
        <item x="0"/>
        <item x="1"/>
        <item t="default"/>
      </items>
    </pivotField>
  </pivotFields>
  <rowFields count="1">
    <field x="2"/>
  </rowFields>
  <rowItems count="7">
    <i>
      <x/>
    </i>
    <i>
      <x v="1"/>
    </i>
    <i>
      <x v="2"/>
    </i>
    <i>
      <x v="3"/>
    </i>
    <i>
      <x v="4"/>
    </i>
    <i>
      <x v="5"/>
    </i>
    <i t="grand">
      <x/>
    </i>
  </rowItems>
  <colItems count="1">
    <i/>
  </colItems>
  <dataFields count="1">
    <dataField name="Count of PROMOTION_STATUS" fld="6" subtotal="count" baseField="0" baseItem="0"/>
  </dataFields>
  <chartFormats count="7">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2" count="1" selected="0">
            <x v="0"/>
          </reference>
        </references>
      </pivotArea>
    </chartFormat>
    <chartFormat chart="5" format="10">
      <pivotArea type="data" outline="0" fieldPosition="0">
        <references count="2">
          <reference field="4294967294" count="1" selected="0">
            <x v="0"/>
          </reference>
          <reference field="2" count="1" selected="0">
            <x v="1"/>
          </reference>
        </references>
      </pivotArea>
    </chartFormat>
    <chartFormat chart="5" format="11">
      <pivotArea type="data" outline="0" fieldPosition="0">
        <references count="2">
          <reference field="4294967294" count="1" selected="0">
            <x v="0"/>
          </reference>
          <reference field="2" count="1" selected="0">
            <x v="2"/>
          </reference>
        </references>
      </pivotArea>
    </chartFormat>
    <chartFormat chart="5" format="12">
      <pivotArea type="data" outline="0" fieldPosition="0">
        <references count="2">
          <reference field="4294967294" count="1" selected="0">
            <x v="0"/>
          </reference>
          <reference field="2" count="1" selected="0">
            <x v="3"/>
          </reference>
        </references>
      </pivotArea>
    </chartFormat>
    <chartFormat chart="5" format="13">
      <pivotArea type="data" outline="0" fieldPosition="0">
        <references count="2">
          <reference field="4294967294" count="1" selected="0">
            <x v="0"/>
          </reference>
          <reference field="2" count="1" selected="0">
            <x v="4"/>
          </reference>
        </references>
      </pivotArea>
    </chartFormat>
    <chartFormat chart="5" format="14">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5AB4936C-15FE-4EB8-A20F-5399DD58690D}" sourceName="DEPARTMENT">
  <pivotTables>
    <pivotTable tabId="2" name="PivotTable1"/>
  </pivotTables>
  <data>
    <tabular pivotCacheId="2074966800">
      <items count="6">
        <i x="4" s="1"/>
        <i x="2" s="1"/>
        <i x="1" s="1"/>
        <i x="0"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1" xr10:uid="{9888F70E-6FBC-481B-8F71-CBB158953957}" sourceName="RATING">
  <pivotTables>
    <pivotTable tabId="2" name="PivotTable1"/>
    <pivotTable tabId="2" name="PivotTable16"/>
    <pivotTable tabId="2" name="PivotTable17"/>
  </pivotTables>
  <data>
    <tabular pivotCacheId="2074966800">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_STATUS1" xr10:uid="{BE9CC79C-857C-4378-A215-E2600BD7A4DF}" sourceName="PROMOTION_STATUS">
  <pivotTables>
    <pivotTable tabId="2" name="PivotTable1"/>
    <pivotTable tabId="2" name="PivotTable16"/>
    <pivotTable tabId="2" name="PivotTable17"/>
  </pivotTables>
  <data>
    <tabular pivotCacheId="207496680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BE7F56E6-A8BE-4815-BBD5-23C02554CC17}" cache="Slicer_DEPARTMENT1" caption="DEPARTMENT" rowHeight="247650"/>
  <slicer name="RATING 1" xr10:uid="{6A5485FE-24BE-433F-B3A9-6B16FCA078A9}" cache="Slicer_RATING1" caption="RATING" rowHeight="247650"/>
  <slicer name="PROMOTION_STATUS 1" xr10:uid="{AE790B18-24EE-4275-A782-D00C1683A737}" cache="Slicer_PROMOTION_STATUS1" caption="PROMOTION_STATUS"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DB0FC7-B9AC-443D-9E5A-F1A112E338CE}" name="Table1" displayName="Table1" ref="A1:G22" totalsRowCount="1" headerRowDxfId="2">
  <autoFilter ref="A1:G21" xr:uid="{BADB0FC7-B9AC-443D-9E5A-F1A112E338CE}">
    <filterColumn colId="5">
      <filters>
        <filter val="3"/>
      </filters>
    </filterColumn>
    <filterColumn colId="6">
      <filters>
        <filter val="NOT ELIGIBLE"/>
      </filters>
    </filterColumn>
  </autoFilter>
  <tableColumns count="7">
    <tableColumn id="1" xr3:uid="{6575FBBB-97D5-4B5B-B13E-7D1BBD4BBBD4}" name="ID"/>
    <tableColumn id="2" xr3:uid="{1C7DF019-F8A0-4A42-9C4F-51A28E418CC6}" name="NAME"/>
    <tableColumn id="3" xr3:uid="{A3E45161-FF4F-4DFD-B5D0-829431CF1C66}" name="DEPARTMENT"/>
    <tableColumn id="4" xr3:uid="{2696AE92-3D6C-40B9-99CC-761013C19B75}" name="EXPERIENCE" totalsRowLabel="Sum of Salary"/>
    <tableColumn id="5" xr3:uid="{222D3EF8-294A-4AE2-BEEF-5B17FD49E6EC}" name="SALARY" totalsRowFunction="custom">
      <totalsRowFormula>SUM(E2:E21)</totalsRowFormula>
    </tableColumn>
    <tableColumn id="6" xr3:uid="{8CD7993F-DCF9-4D43-A079-E7A95296BC80}" name="RATING"/>
    <tableColumn id="7" xr3:uid="{A0ADABE7-CD18-40ED-9505-6CAC84D5452C}" name="PROMOTION_STATUS" dataDxfId="1" totalsRowDxfId="0">
      <calculatedColumnFormula>IF(AND(Table1[[#This Row],[EXPERIENCE]]&gt;=4,Table1[[#This Row],[RATING]]&gt;=3),"ELIGIBLE","NOT ELIGIBLE")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BC11E-F23B-4E5E-AC03-E57AACBB8CEE}">
  <dimension ref="A1:G25"/>
  <sheetViews>
    <sheetView topLeftCell="B2" workbookViewId="0">
      <selection activeCell="C18" sqref="C18"/>
    </sheetView>
  </sheetViews>
  <sheetFormatPr defaultRowHeight="14.4" x14ac:dyDescent="0.3"/>
  <cols>
    <col min="1" max="1" width="19.6640625" bestFit="1" customWidth="1"/>
    <col min="2" max="2" width="13.44140625" bestFit="1" customWidth="1"/>
    <col min="3" max="3" width="12.44140625" bestFit="1" customWidth="1"/>
    <col min="4" max="4" width="26.109375" bestFit="1" customWidth="1"/>
    <col min="6" max="6" width="12.44140625" bestFit="1" customWidth="1"/>
    <col min="7" max="7" width="16.21875" bestFit="1" customWidth="1"/>
  </cols>
  <sheetData>
    <row r="1" spans="1:7" x14ac:dyDescent="0.3">
      <c r="F1" s="2" t="s">
        <v>34</v>
      </c>
      <c r="G1" t="s">
        <v>38</v>
      </c>
    </row>
    <row r="2" spans="1:7" x14ac:dyDescent="0.3">
      <c r="F2" s="3">
        <v>2</v>
      </c>
      <c r="G2" s="5">
        <v>27500</v>
      </c>
    </row>
    <row r="3" spans="1:7" x14ac:dyDescent="0.3">
      <c r="A3" s="2" t="s">
        <v>37</v>
      </c>
      <c r="B3" t="s">
        <v>36</v>
      </c>
      <c r="F3" s="3">
        <v>3</v>
      </c>
      <c r="G3" s="5">
        <v>38714.285714285717</v>
      </c>
    </row>
    <row r="4" spans="1:7" x14ac:dyDescent="0.3">
      <c r="A4" s="3" t="s">
        <v>12</v>
      </c>
      <c r="B4" s="6">
        <v>189000</v>
      </c>
      <c r="F4" s="3">
        <v>4</v>
      </c>
      <c r="G4" s="5">
        <v>51500</v>
      </c>
    </row>
    <row r="5" spans="1:7" x14ac:dyDescent="0.3">
      <c r="A5" s="3" t="s">
        <v>5</v>
      </c>
      <c r="B5" s="6">
        <v>198000</v>
      </c>
      <c r="F5" s="3">
        <v>5</v>
      </c>
      <c r="G5" s="5">
        <v>75000</v>
      </c>
    </row>
    <row r="6" spans="1:7" x14ac:dyDescent="0.3">
      <c r="A6" s="3" t="s">
        <v>3</v>
      </c>
      <c r="B6" s="6">
        <v>141000</v>
      </c>
      <c r="F6" s="3" t="s">
        <v>35</v>
      </c>
      <c r="G6" s="5">
        <v>45750</v>
      </c>
    </row>
    <row r="7" spans="1:7" x14ac:dyDescent="0.3">
      <c r="A7" s="3" t="s">
        <v>1</v>
      </c>
      <c r="B7" s="6">
        <v>187000</v>
      </c>
    </row>
    <row r="8" spans="1:7" x14ac:dyDescent="0.3">
      <c r="A8" s="3" t="s">
        <v>7</v>
      </c>
      <c r="B8" s="6">
        <v>175000</v>
      </c>
    </row>
    <row r="9" spans="1:7" x14ac:dyDescent="0.3">
      <c r="A9" s="3" t="s">
        <v>17</v>
      </c>
      <c r="B9" s="6">
        <v>25000</v>
      </c>
    </row>
    <row r="10" spans="1:7" x14ac:dyDescent="0.3">
      <c r="A10" s="3" t="s">
        <v>35</v>
      </c>
      <c r="B10" s="6">
        <v>915000</v>
      </c>
    </row>
    <row r="18" spans="3:4" x14ac:dyDescent="0.3">
      <c r="C18" s="2" t="s">
        <v>34</v>
      </c>
      <c r="D18" t="s">
        <v>39</v>
      </c>
    </row>
    <row r="19" spans="3:4" x14ac:dyDescent="0.3">
      <c r="C19" s="3" t="s">
        <v>12</v>
      </c>
      <c r="D19" s="6">
        <v>4</v>
      </c>
    </row>
    <row r="20" spans="3:4" x14ac:dyDescent="0.3">
      <c r="C20" s="3" t="s">
        <v>5</v>
      </c>
      <c r="D20" s="6">
        <v>4</v>
      </c>
    </row>
    <row r="21" spans="3:4" x14ac:dyDescent="0.3">
      <c r="C21" s="3" t="s">
        <v>3</v>
      </c>
      <c r="D21" s="6">
        <v>4</v>
      </c>
    </row>
    <row r="22" spans="3:4" x14ac:dyDescent="0.3">
      <c r="C22" s="3" t="s">
        <v>1</v>
      </c>
      <c r="D22" s="6">
        <v>3</v>
      </c>
    </row>
    <row r="23" spans="3:4" x14ac:dyDescent="0.3">
      <c r="C23" s="3" t="s">
        <v>7</v>
      </c>
      <c r="D23" s="6">
        <v>4</v>
      </c>
    </row>
    <row r="24" spans="3:4" x14ac:dyDescent="0.3">
      <c r="C24" s="3" t="s">
        <v>17</v>
      </c>
      <c r="D24" s="6">
        <v>1</v>
      </c>
    </row>
    <row r="25" spans="3:4" x14ac:dyDescent="0.3">
      <c r="C25" s="3" t="s">
        <v>35</v>
      </c>
      <c r="D25" s="6">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A9CD9-08FF-48B7-9159-1FDEBF0E0A4C}">
  <dimension ref="A1:G22"/>
  <sheetViews>
    <sheetView workbookViewId="0">
      <selection activeCell="B30" sqref="B30"/>
    </sheetView>
  </sheetViews>
  <sheetFormatPr defaultRowHeight="14.4" x14ac:dyDescent="0.3"/>
  <cols>
    <col min="1" max="1" width="11.109375" customWidth="1"/>
    <col min="2" max="3" width="14" customWidth="1"/>
    <col min="4" max="4" width="14.6640625" customWidth="1"/>
    <col min="5" max="5" width="14.109375" customWidth="1"/>
    <col min="6" max="6" width="13.33203125" customWidth="1"/>
    <col min="7" max="7" width="21.77734375" customWidth="1"/>
  </cols>
  <sheetData>
    <row r="1" spans="1:7" x14ac:dyDescent="0.3">
      <c r="A1" s="1" t="s">
        <v>26</v>
      </c>
      <c r="B1" s="1" t="s">
        <v>27</v>
      </c>
      <c r="C1" s="1" t="s">
        <v>28</v>
      </c>
      <c r="D1" s="1" t="s">
        <v>29</v>
      </c>
      <c r="E1" s="1" t="s">
        <v>30</v>
      </c>
      <c r="F1" s="1" t="s">
        <v>31</v>
      </c>
      <c r="G1" s="1" t="s">
        <v>32</v>
      </c>
    </row>
    <row r="2" spans="1:7" hidden="1" x14ac:dyDescent="0.3">
      <c r="A2">
        <v>101</v>
      </c>
      <c r="B2" t="s">
        <v>0</v>
      </c>
      <c r="C2" t="s">
        <v>1</v>
      </c>
      <c r="D2">
        <v>4</v>
      </c>
      <c r="E2">
        <v>60000</v>
      </c>
      <c r="F2">
        <v>4</v>
      </c>
      <c r="G2" t="str">
        <f>IF(AND(Table1[[#This Row],[EXPERIENCE]]&gt;=4,Table1[[#This Row],[RATING]]&gt;=3),"ELIGIBLE","NOT ELIGIBLE")</f>
        <v>ELIGIBLE</v>
      </c>
    </row>
    <row r="3" spans="1:7" x14ac:dyDescent="0.3">
      <c r="A3">
        <v>102</v>
      </c>
      <c r="B3" t="s">
        <v>2</v>
      </c>
      <c r="C3" t="s">
        <v>3</v>
      </c>
      <c r="D3">
        <v>2</v>
      </c>
      <c r="E3">
        <v>35000</v>
      </c>
      <c r="F3">
        <v>3</v>
      </c>
      <c r="G3" t="str">
        <f>IF(AND(Table1[[#This Row],[EXPERIENCE]]&gt;=4,Table1[[#This Row],[RATING]]&gt;=3),"ELIGIBLE","NOT ELIGIBLE")</f>
        <v>NOT ELIGIBLE</v>
      </c>
    </row>
    <row r="4" spans="1:7" hidden="1" x14ac:dyDescent="0.3">
      <c r="A4">
        <v>103</v>
      </c>
      <c r="B4" t="s">
        <v>4</v>
      </c>
      <c r="C4" t="s">
        <v>5</v>
      </c>
      <c r="D4">
        <v>1</v>
      </c>
      <c r="E4">
        <v>30000</v>
      </c>
      <c r="F4">
        <v>2</v>
      </c>
      <c r="G4" t="str">
        <f>IF(AND(Table1[[#This Row],[EXPERIENCE]]&gt;=4,Table1[[#This Row],[RATING]]&gt;=3),"ELIGIBLE","NOT ELIGIBLE")</f>
        <v>NOT ELIGIBLE</v>
      </c>
    </row>
    <row r="5" spans="1:7" hidden="1" x14ac:dyDescent="0.3">
      <c r="A5">
        <v>104</v>
      </c>
      <c r="B5" t="s">
        <v>6</v>
      </c>
      <c r="C5" t="s">
        <v>7</v>
      </c>
      <c r="D5">
        <v>4</v>
      </c>
      <c r="E5">
        <v>45000</v>
      </c>
      <c r="F5">
        <v>4</v>
      </c>
      <c r="G5" t="str">
        <f>IF(AND(Table1[[#This Row],[EXPERIENCE]]&gt;=4,Table1[[#This Row],[RATING]]&gt;=3),"ELIGIBLE","NOT ELIGIBLE")</f>
        <v>ELIGIBLE</v>
      </c>
    </row>
    <row r="6" spans="1:7" hidden="1" x14ac:dyDescent="0.3">
      <c r="A6">
        <v>105</v>
      </c>
      <c r="B6" t="s">
        <v>8</v>
      </c>
      <c r="C6" t="s">
        <v>1</v>
      </c>
      <c r="D6">
        <v>6</v>
      </c>
      <c r="E6">
        <v>80000</v>
      </c>
      <c r="F6">
        <v>5</v>
      </c>
      <c r="G6" t="str">
        <f>IF(AND(Table1[[#This Row],[EXPERIENCE]]&gt;=4,Table1[[#This Row],[RATING]]&gt;=3),"ELIGIBLE","NOT ELIGIBLE")</f>
        <v>ELIGIBLE</v>
      </c>
    </row>
    <row r="7" spans="1:7" hidden="1" x14ac:dyDescent="0.3">
      <c r="A7">
        <v>106</v>
      </c>
      <c r="B7" t="s">
        <v>9</v>
      </c>
      <c r="C7" t="s">
        <v>5</v>
      </c>
      <c r="D7">
        <v>5</v>
      </c>
      <c r="E7">
        <v>75000</v>
      </c>
      <c r="F7">
        <v>5</v>
      </c>
      <c r="G7" t="str">
        <f>IF(AND(Table1[[#This Row],[EXPERIENCE]]&gt;=4,Table1[[#This Row],[RATING]]&gt;=3),"ELIGIBLE","NOT ELIGIBLE")</f>
        <v>ELIGIBLE</v>
      </c>
    </row>
    <row r="8" spans="1:7" hidden="1" x14ac:dyDescent="0.3">
      <c r="A8">
        <v>107</v>
      </c>
      <c r="B8" t="s">
        <v>10</v>
      </c>
      <c r="C8" t="s">
        <v>3</v>
      </c>
      <c r="D8">
        <v>1</v>
      </c>
      <c r="E8">
        <v>28000</v>
      </c>
      <c r="F8">
        <v>2</v>
      </c>
      <c r="G8" t="str">
        <f>IF(AND(Table1[[#This Row],[EXPERIENCE]]&gt;=4,Table1[[#This Row],[RATING]]&gt;=3),"ELIGIBLE","NOT ELIGIBLE")</f>
        <v>NOT ELIGIBLE</v>
      </c>
    </row>
    <row r="9" spans="1:7" x14ac:dyDescent="0.3">
      <c r="A9">
        <v>108</v>
      </c>
      <c r="B9" t="s">
        <v>11</v>
      </c>
      <c r="C9" t="s">
        <v>12</v>
      </c>
      <c r="D9">
        <v>2</v>
      </c>
      <c r="E9">
        <v>40000</v>
      </c>
      <c r="F9">
        <v>3</v>
      </c>
      <c r="G9" t="str">
        <f>IF(AND(Table1[[#This Row],[EXPERIENCE]]&gt;=4,Table1[[#This Row],[RATING]]&gt;=3),"ELIGIBLE","NOT ELIGIBLE")</f>
        <v>NOT ELIGIBLE</v>
      </c>
    </row>
    <row r="10" spans="1:7" hidden="1" x14ac:dyDescent="0.3">
      <c r="A10">
        <v>109</v>
      </c>
      <c r="B10" t="s">
        <v>13</v>
      </c>
      <c r="C10" t="s">
        <v>7</v>
      </c>
      <c r="D10">
        <v>4</v>
      </c>
      <c r="E10">
        <v>50000</v>
      </c>
      <c r="F10">
        <v>4</v>
      </c>
      <c r="G10" t="str">
        <f>IF(AND(Table1[[#This Row],[EXPERIENCE]]&gt;=4,Table1[[#This Row],[RATING]]&gt;=3),"ELIGIBLE","NOT ELIGIBLE")</f>
        <v>ELIGIBLE</v>
      </c>
    </row>
    <row r="11" spans="1:7" hidden="1" x14ac:dyDescent="0.3">
      <c r="A11">
        <v>110</v>
      </c>
      <c r="B11" t="s">
        <v>14</v>
      </c>
      <c r="C11" t="s">
        <v>12</v>
      </c>
      <c r="D11">
        <v>4</v>
      </c>
      <c r="E11">
        <v>52000</v>
      </c>
      <c r="F11">
        <v>4</v>
      </c>
      <c r="G11" t="str">
        <f>IF(AND(Table1[[#This Row],[EXPERIENCE]]&gt;=4,Table1[[#This Row],[RATING]]&gt;=3),"ELIGIBLE","NOT ELIGIBLE")</f>
        <v>ELIGIBLE</v>
      </c>
    </row>
    <row r="12" spans="1:7" x14ac:dyDescent="0.3">
      <c r="A12">
        <v>111</v>
      </c>
      <c r="B12" t="s">
        <v>15</v>
      </c>
      <c r="C12" t="s">
        <v>3</v>
      </c>
      <c r="D12">
        <v>3</v>
      </c>
      <c r="E12">
        <v>42000</v>
      </c>
      <c r="F12">
        <v>3</v>
      </c>
      <c r="G12" t="str">
        <f>IF(AND(Table1[[#This Row],[EXPERIENCE]]&gt;=4,Table1[[#This Row],[RATING]]&gt;=3),"ELIGIBLE","NOT ELIGIBLE")</f>
        <v>NOT ELIGIBLE</v>
      </c>
    </row>
    <row r="13" spans="1:7" hidden="1" x14ac:dyDescent="0.3">
      <c r="A13">
        <v>112</v>
      </c>
      <c r="B13" t="s">
        <v>16</v>
      </c>
      <c r="C13" t="s">
        <v>17</v>
      </c>
      <c r="D13">
        <v>1</v>
      </c>
      <c r="E13">
        <v>25000</v>
      </c>
      <c r="F13">
        <v>2</v>
      </c>
      <c r="G13" t="str">
        <f>IF(AND(Table1[[#This Row],[EXPERIENCE]]&gt;=4,Table1[[#This Row],[RATING]]&gt;=3),"ELIGIBLE","NOT ELIGIBLE")</f>
        <v>NOT ELIGIBLE</v>
      </c>
    </row>
    <row r="14" spans="1:7" hidden="1" x14ac:dyDescent="0.3">
      <c r="A14">
        <v>113</v>
      </c>
      <c r="B14" t="s">
        <v>18</v>
      </c>
      <c r="C14" t="s">
        <v>12</v>
      </c>
      <c r="D14">
        <v>1</v>
      </c>
      <c r="E14">
        <v>27000</v>
      </c>
      <c r="F14">
        <v>2</v>
      </c>
      <c r="G14" t="str">
        <f>IF(AND(Table1[[#This Row],[EXPERIENCE]]&gt;=4,Table1[[#This Row],[RATING]]&gt;=3),"ELIGIBLE","NOT ELIGIBLE")</f>
        <v>NOT ELIGIBLE</v>
      </c>
    </row>
    <row r="15" spans="1:7" x14ac:dyDescent="0.3">
      <c r="A15">
        <v>114</v>
      </c>
      <c r="B15" t="s">
        <v>19</v>
      </c>
      <c r="C15" t="s">
        <v>5</v>
      </c>
      <c r="D15">
        <v>2</v>
      </c>
      <c r="E15">
        <v>38000</v>
      </c>
      <c r="F15">
        <v>3</v>
      </c>
      <c r="G15" t="str">
        <f>IF(AND(Table1[[#This Row],[EXPERIENCE]]&gt;=4,Table1[[#This Row],[RATING]]&gt;=3),"ELIGIBLE","NOT ELIGIBLE")</f>
        <v>NOT ELIGIBLE</v>
      </c>
    </row>
    <row r="16" spans="1:7" hidden="1" x14ac:dyDescent="0.3">
      <c r="A16">
        <v>115</v>
      </c>
      <c r="B16" t="s">
        <v>20</v>
      </c>
      <c r="C16" t="s">
        <v>1</v>
      </c>
      <c r="D16">
        <v>3</v>
      </c>
      <c r="E16">
        <v>47000</v>
      </c>
      <c r="F16">
        <v>4</v>
      </c>
      <c r="G16" t="str">
        <f>IF(AND(Table1[[#This Row],[EXPERIENCE]]&gt;=4,Table1[[#This Row],[RATING]]&gt;=3),"ELIGIBLE","NOT ELIGIBLE")</f>
        <v>NOT ELIGIBLE</v>
      </c>
    </row>
    <row r="17" spans="1:7" x14ac:dyDescent="0.3">
      <c r="A17">
        <v>116</v>
      </c>
      <c r="B17" t="s">
        <v>21</v>
      </c>
      <c r="C17" t="s">
        <v>3</v>
      </c>
      <c r="D17">
        <v>2</v>
      </c>
      <c r="E17">
        <v>36000</v>
      </c>
      <c r="F17">
        <v>3</v>
      </c>
      <c r="G17" t="str">
        <f>IF(AND(Table1[[#This Row],[EXPERIENCE]]&gt;=4,Table1[[#This Row],[RATING]]&gt;=3),"ELIGIBLE","NOT ELIGIBLE")</f>
        <v>NOT ELIGIBLE</v>
      </c>
    </row>
    <row r="18" spans="1:7" x14ac:dyDescent="0.3">
      <c r="A18">
        <v>117</v>
      </c>
      <c r="B18" t="s">
        <v>22</v>
      </c>
      <c r="C18" t="s">
        <v>7</v>
      </c>
      <c r="D18">
        <v>2</v>
      </c>
      <c r="E18">
        <v>39000</v>
      </c>
      <c r="F18">
        <v>3</v>
      </c>
      <c r="G18" t="str">
        <f>IF(AND(Table1[[#This Row],[EXPERIENCE]]&gt;=4,Table1[[#This Row],[RATING]]&gt;=3),"ELIGIBLE","NOT ELIGIBLE")</f>
        <v>NOT ELIGIBLE</v>
      </c>
    </row>
    <row r="19" spans="1:7" x14ac:dyDescent="0.3">
      <c r="A19">
        <v>118</v>
      </c>
      <c r="B19" t="s">
        <v>23</v>
      </c>
      <c r="C19" t="s">
        <v>7</v>
      </c>
      <c r="D19">
        <v>2</v>
      </c>
      <c r="E19">
        <v>41000</v>
      </c>
      <c r="F19">
        <v>3</v>
      </c>
      <c r="G19" t="str">
        <f>IF(AND(Table1[[#This Row],[EXPERIENCE]]&gt;=4,Table1[[#This Row],[RATING]]&gt;=3),"ELIGIBLE","NOT ELIGIBLE")</f>
        <v>NOT ELIGIBLE</v>
      </c>
    </row>
    <row r="20" spans="1:7" hidden="1" x14ac:dyDescent="0.3">
      <c r="A20">
        <v>119</v>
      </c>
      <c r="B20" t="s">
        <v>24</v>
      </c>
      <c r="C20" t="s">
        <v>5</v>
      </c>
      <c r="D20">
        <v>3</v>
      </c>
      <c r="E20">
        <v>55000</v>
      </c>
      <c r="F20">
        <v>4</v>
      </c>
      <c r="G20" t="str">
        <f>IF(AND(Table1[[#This Row],[EXPERIENCE]]&gt;=4,Table1[[#This Row],[RATING]]&gt;=3),"ELIGIBLE","NOT ELIGIBLE")</f>
        <v>NOT ELIGIBLE</v>
      </c>
    </row>
    <row r="21" spans="1:7" hidden="1" x14ac:dyDescent="0.3">
      <c r="A21">
        <v>120</v>
      </c>
      <c r="B21" t="s">
        <v>25</v>
      </c>
      <c r="C21" t="s">
        <v>12</v>
      </c>
      <c r="D21">
        <v>5</v>
      </c>
      <c r="E21">
        <v>70000</v>
      </c>
      <c r="F21">
        <v>5</v>
      </c>
      <c r="G21" t="str">
        <f>IF(AND(Table1[[#This Row],[EXPERIENCE]]&gt;=4,Table1[[#This Row],[RATING]]&gt;=3),"ELIGIBLE","NOT ELIGIBLE")</f>
        <v>ELIGIBLE</v>
      </c>
    </row>
    <row r="22" spans="1:7" x14ac:dyDescent="0.3">
      <c r="D22" t="s">
        <v>33</v>
      </c>
      <c r="E22">
        <f>SUM(E2:E21)</f>
        <v>915000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A5D70-EEA7-497C-841D-F724BE93DF15}">
  <dimension ref="E2:M21"/>
  <sheetViews>
    <sheetView showGridLines="0" showRowColHeaders="0" tabSelected="1" workbookViewId="0">
      <selection activeCell="W16" sqref="W16"/>
    </sheetView>
  </sheetViews>
  <sheetFormatPr defaultRowHeight="14.4" x14ac:dyDescent="0.3"/>
  <sheetData>
    <row r="2" spans="5:13" ht="31.2" x14ac:dyDescent="0.6">
      <c r="E2" s="4" t="s">
        <v>40</v>
      </c>
    </row>
    <row r="14" spans="5:13" x14ac:dyDescent="0.3">
      <c r="M14" t="e" vm="1">
        <v>#VALUE!</v>
      </c>
    </row>
    <row r="21" spans="8:8" x14ac:dyDescent="0.3">
      <c r="H21" t="e" vm="2">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Salary_Analytics</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mamidi dhamodara rao</dc:creator>
  <cp:lastModifiedBy>dhamodara rao mamidi</cp:lastModifiedBy>
  <dcterms:created xsi:type="dcterms:W3CDTF">2026-03-22T10:10:39Z</dcterms:created>
  <dcterms:modified xsi:type="dcterms:W3CDTF">2026-03-23T08:37:59Z</dcterms:modified>
</cp:coreProperties>
</file>